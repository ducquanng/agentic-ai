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thodology &amp; scale" sheetId="1" state="visible" r:id="rId3"/>
    <sheet name="RPN scored (58)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<sst xmlns="http://schemas.openxmlformats.org/spreadsheetml/2006/main" count="539" uniqueCount="361">
  <si>
    <t xml:space="preserve">Agentic AI Risk Prioritisation - RPN (Stage 2 of the reduction funnel)</t>
  </si>
  <si>
    <t xml:space="preserve">Each of the 58 risk types is scored 1-5 on four factors and prioritised by a validation-priority Risk Priority Number (RPN).</t>
  </si>
  <si>
    <t xml:space="preserve">RPN = 0.35*S + 0.25*O + 0.25*A + 0.15*D   (range 1-5). Severity is weighted highest, per the thesis objective (validation in a bank).</t>
  </si>
  <si>
    <t xml:space="preserve">The RPN is a STRUCTURED VALIDATION-PRIORITY INDICATOR, not an empirical probability of loss. Scores are expert judgements grounded in the sources on the 'Sources' sheet; refine with your institution's own risk appetite and incident data.</t>
  </si>
  <si>
    <t xml:space="preserve">Scale anchors:</t>
  </si>
  <si>
    <t xml:space="preserve">S - Severity (impact in a financial institution): 5 = catastrophic (financial loss at scale / systemic / severe regulatory breach / mass customer harm); 4 = major (significant loss or regulatory breach, hard to reverse); 3 = moderate/contained; 2 = minor; 1 = negligible.</t>
  </si>
  <si>
    <t xml:space="preserve">O - Occurrence (prevalence/likelihood in current FI agentic use cases): 5 = pervasive / demonstrated in the wild / inherent; 4 = common; 3 = plausible given adoption; 2 = emerging (e.g. multi-agent, still nascent in production); 1 = rare/theoretical.</t>
  </si>
  <si>
    <t xml:space="preserve">A - Agentic amplification (vs non-agentic AI): 5 = exists only / is transformed by agency (action execution, tool use, memory, multi-agent); 4 = strongly amplified; 3 = moderately amplified; 2 = slightly; 1 = not agentic-specific.</t>
  </si>
  <si>
    <t xml:space="preserve">D - Detection difficulty (with current monitoring/validation): 5 = very hard / no reliable detector (silent, emergent, covert, cross-step); 4 = hard; 3 = moderate (detectable with effort); 2 = observable via standard telemetry; 1 = easily detected.</t>
  </si>
  <si>
    <t xml:space="preserve">Priority tiers (bands on the 1-5 RPN): Critical &gt;= 4.0 ; High 3.5-3.99 ; Medium 3.0-3.49 ; Lower &lt; 3.0.</t>
  </si>
  <si>
    <t xml:space="preserve">How this feeds the funnel (Stage 2): high-RPN risk types anchor the core metric set; low-RPN types may be demoted to lighter review. A high-RPN risk type with NO quantitative metric in the register is an URGENT gap and is routed to mandatory qualitative expert review (see the 'Has metric?' column).</t>
  </si>
  <si>
    <t xml:space="preserve">S/O/A/D are entered as values and RPN is a live formula, so you can adjust any score and the RPN/ordering updates.</t>
  </si>
  <si>
    <t xml:space="preserve">Rank</t>
  </si>
  <si>
    <t xml:space="preserve">Dimension</t>
  </si>
  <si>
    <t xml:space="preserve">Sub-Dimension</t>
  </si>
  <si>
    <t xml:space="preserve">Risk type</t>
  </si>
  <si>
    <t xml:space="preserve">Definition</t>
  </si>
  <si>
    <t xml:space="preserve">S</t>
  </si>
  <si>
    <t xml:space="preserve">O</t>
  </si>
  <si>
    <t xml:space="preserve">A</t>
  </si>
  <si>
    <t xml:space="preserve">D</t>
  </si>
  <si>
    <t xml:space="preserve">RPN</t>
  </si>
  <si>
    <t xml:space="preserve">Priority</t>
  </si>
  <si>
    <t xml:space="preserve">Has metric?</t>
  </si>
  <si>
    <t xml:space="preserve">Rationale</t>
  </si>
  <si>
    <t xml:space="preserve">Evidence / sources</t>
  </si>
  <si>
    <t xml:space="preserve">1. Information Integrity</t>
  </si>
  <si>
    <t xml:space="preserve">Instruction Boundary</t>
  </si>
  <si>
    <t xml:space="preserve">Prompt / Indirect Instruction Injection Risk</t>
  </si>
  <si>
    <t xml:space="preserve">The risk that an agent treats untrusted content as an instruction that overrides or modifies its intended behavior. This includes direct prompt injection, indirect prompt injection...</t>
  </si>
  <si>
    <t xml:space="preserve">Critical</t>
  </si>
  <si>
    <t xml:space="preserve">Yes</t>
  </si>
  <si>
    <t xml:space="preserve">OWASP #1; demonstrated in the wild; cannot be reliably detected or solved in current architectures.</t>
  </si>
  <si>
    <t xml:space="preserve">OWASP ASI01/LLM01; Zhan 2025 (ASR&gt;50%); OpenAI/Anthropic/DeepMind 2025.</t>
  </si>
  <si>
    <t xml:space="preserve">3. Access Control</t>
  </si>
  <si>
    <t xml:space="preserve">Privilege Boundaries</t>
  </si>
  <si>
    <t xml:space="preserve">Confused Deputy / Delegated Authority Abuse Risk</t>
  </si>
  <si>
    <t xml:space="preserve">The risk that the agent misuses legitimate authority granted by a user, business process, or organization to perform actions outside the principal’s intent. This includes actions t...</t>
  </si>
  <si>
    <t xml:space="preserve">No - qualitative</t>
  </si>
  <si>
    <t xml:space="preserve">Low-privilege request inherits higher privilege downstream; looks legitimate.</t>
  </si>
  <si>
    <t xml:space="preserve">OWASP ASI03; Lakera.</t>
  </si>
  <si>
    <t xml:space="preserve">Excessive Privilege Risk</t>
  </si>
  <si>
    <t xml:space="preserve">The risk that the agent has, obtains, inherits, combines, or uses privileges beyond what is necessary or approved for its task. This includes over-permissioned service accounts, dy...</t>
  </si>
  <si>
    <t xml:space="preserve">Agents inherit high-privilege credentials; large blast radius; common.</t>
  </si>
  <si>
    <t xml:space="preserve">OWASP ASI03; Lakera progressive-breach.</t>
  </si>
  <si>
    <t xml:space="preserve">2. Goal Integrity</t>
  </si>
  <si>
    <t xml:space="preserve">Goal Drift</t>
  </si>
  <si>
    <t xml:space="preserve">Adversarial Goal Manipulation Risk</t>
  </si>
  <si>
    <t xml:space="preserve">The risk that an external actor, compromised input, malicious tool output, poisoned memory, or inter-agent message alters the agent’s objective, plan, or subgoals. This includes in...</t>
  </si>
  <si>
    <t xml:space="preserve">Goal hijack (OWASP #1 agentic) via injected instructions/poisoned content.</t>
  </si>
  <si>
    <t xml:space="preserve">OWASP ASI01.</t>
  </si>
  <si>
    <t xml:space="preserve">Identity Control</t>
  </si>
  <si>
    <t xml:space="preserve">Agent Identity and Credential Misuse Risk</t>
  </si>
  <si>
    <t xml:space="preserve">The risk that agent, tool, connector, service-account, workload, or API credentials are missing, stale, overbroad, exposed, misused, or incorrectly bound to actions. This includes ...</t>
  </si>
  <si>
    <t xml:space="preserve">Delegated identity/credentials abused for broad unauthorised access.</t>
  </si>
  <si>
    <t xml:space="preserve">OWASP ASI03.</t>
  </si>
  <si>
    <t xml:space="preserve">4. Action Control</t>
  </si>
  <si>
    <t xml:space="preserve">Deployment Control</t>
  </si>
  <si>
    <t xml:space="preserve">Unsafe Code / Configuration Change Risk</t>
  </si>
  <si>
    <t xml:space="preserve">The risk that the agent writes, modifies, executes, or deploys code, infrastructure, configuration, prompts, scripts, policies, or automation without adequate review, validation, t...</t>
  </si>
  <si>
    <t xml:space="preserve">Agent-generated code/config with hidden commands/backdoors (ASI05).</t>
  </si>
  <si>
    <t xml:space="preserve">OWASP ASI05; secops.</t>
  </si>
  <si>
    <t xml:space="preserve">6. Monitoring &amp; Audit</t>
  </si>
  <si>
    <t xml:space="preserve">Evasion Detection</t>
  </si>
  <si>
    <t xml:space="preserve">Oversight Evasion / Evaluation Gaming Risk</t>
  </si>
  <si>
    <t xml:space="preserve">The risk that the agent or agent network behaves in ways that avoid, manipulate, or defeat monitoring, testing, approval, red-team, benchmark, policy, or audit controls. This inclu...</t>
  </si>
  <si>
    <t xml:space="preserve">Agent games oversight/evals (sandbagging); by definition evades detection.</t>
  </si>
  <si>
    <t xml:space="preserve">Hammond 2025; Zhu 2025; Chan 2023.</t>
  </si>
  <si>
    <t xml:space="preserve">7. Ecosystem Resilience</t>
  </si>
  <si>
    <t xml:space="preserve">Coordination</t>
  </si>
  <si>
    <t xml:space="preserve">Collusion and Undesired Cooperation Risk</t>
  </si>
  <si>
    <t xml:space="preserve">The risk that agents coordinate explicitly or tacitly in ways that produce harmful, anti-competitive, deceptive, non-compliant, or control-bypassing outcomes. This includes algorit...</t>
  </si>
  <si>
    <t xml:space="preserve">Markets are the canonical collusion domain; covert (steganographic), evades oversight; systemic.</t>
  </si>
  <si>
    <t xml:space="preserve">Hammond 2025; FSB/BoE (herding); market-collusion lit.</t>
  </si>
  <si>
    <t xml:space="preserve">Approval Control</t>
  </si>
  <si>
    <t xml:space="preserve">Unauthorized Material Action Risk</t>
  </si>
  <si>
    <t xml:space="preserve">The risk that the agent performs a material action without sufficient approval, authority, policy decision, confirmation, or dual control. Material actions include financial transa...</t>
  </si>
  <si>
    <t xml:space="preserve">Agents move money/records; unauthorised material action is the core agentic harm.</t>
  </si>
  <si>
    <t xml:space="preserve">OWASP progressive-breach; McKinsey 2026; Art.26.</t>
  </si>
  <si>
    <t xml:space="preserve">Reversibility</t>
  </si>
  <si>
    <t xml:space="preserve">Irreversible Action Risk</t>
  </si>
  <si>
    <t xml:space="preserve">The risk that the agent changes a financial, customer, operational, production, legal, or system-of-record state in a way that is difficult, costly, or impossible to reverse. This ...</t>
  </si>
  <si>
    <t xml:space="preserve">Hard-to-reverse actions (payments, deletions) raise severity sharply.</t>
  </si>
  <si>
    <t xml:space="preserve">Chan 2023; EU AI Act.</t>
  </si>
  <si>
    <t xml:space="preserve">Memory Integrity</t>
  </si>
  <si>
    <t xml:space="preserve">Persistent Memory Contamination Risk</t>
  </si>
  <si>
    <t xml:space="preserve">The risk that false, malicious, sensitive, outdated, or inappropriate information is written into the agent’s persistent memory and later recalled as trusted context. This includes...</t>
  </si>
  <si>
    <t xml:space="preserve">Poisoned memory persists across sessions and silently biases future actions.</t>
  </si>
  <si>
    <t xml:space="preserve">OWASP ASI06; Bedrock persistent-poisoning disclosure.</t>
  </si>
  <si>
    <t xml:space="preserve">Tool Control</t>
  </si>
  <si>
    <t xml:space="preserve">Tool Misuse Risk</t>
  </si>
  <si>
    <t xml:space="preserve">The risk that the agent selects, invokes, parameterizes, sequences, or interprets tools incorrectly or unsafely. This includes wrong-tool selection, malformed API calls, invalid pa...</t>
  </si>
  <si>
    <t xml:space="preserve">Tools convert reasoning into action; misuse/parameter pollution is common.</t>
  </si>
  <si>
    <t xml:space="preserve">OWASP ASI02; agent fault taxonomy.</t>
  </si>
  <si>
    <t xml:space="preserve">Concentration Risk</t>
  </si>
  <si>
    <t xml:space="preserve">Common-Mode Failure Risk</t>
  </si>
  <si>
    <t xml:space="preserve">The risk that many agents, workflows, or business processes fail in the same way because they depend on the same model, provider, infrastructure, prompt pattern, tool, dataset, or ...</t>
  </si>
  <si>
    <t xml:space="preserve">Correlated failure across agents on a shared model (monoculture); procyclical/systemic.</t>
  </si>
  <si>
    <t xml:space="preserve">FSB/BoE (herding); Hammond 2025 (monoculture collapse).</t>
  </si>
  <si>
    <t xml:space="preserve">Supply Chain</t>
  </si>
  <si>
    <t xml:space="preserve">Agentic Supply-Chain Integrity Risk</t>
  </si>
  <si>
    <t xml:space="preserve">The risk that models, datasets, embeddings, plugins, packages, prompt templates, tools, connectors, orchestration components, or provisioning pipelines are compromised, untrusted, ...</t>
  </si>
  <si>
    <t xml:space="preserve">Compromised tools/MCP/plugins (rug pulls, typosquatting) can exfiltrate everything the agent touches.</t>
  </si>
  <si>
    <t xml:space="preserve">OWASP ASI04; secops.</t>
  </si>
  <si>
    <t xml:space="preserve">Tool Chaining</t>
  </si>
  <si>
    <t xml:space="preserve">Unsafe Tool-Chain Composition Risk</t>
  </si>
  <si>
    <t xml:space="preserve">The risk that multiple individually permitted tools are combined into a workflow that creates unauthorized access, data movement, control bypass, privilege escalation, or unintende...</t>
  </si>
  <si>
    <t xml:space="preserve">Chained tool calls achieve unauthorised outcomes emergent from the sequence.</t>
  </si>
  <si>
    <t xml:space="preserve">OWASP ASI02 (tool-chain).</t>
  </si>
  <si>
    <t xml:space="preserve">Human Approval Degradation Risk</t>
  </si>
  <si>
    <t xml:space="preserve">The risk that human approval exists formally but is ineffective because reviewers lack sufficient context, expertise, time, independence, attention, or authority. This includes app...</t>
  </si>
  <si>
    <t xml:space="preserve">Approval erodes into rubber-stamping (automation complacency); silent.</t>
  </si>
  <si>
    <t xml:space="preserve">Chan 2023 (overreliance); EU AI Act Art.14.</t>
  </si>
  <si>
    <t xml:space="preserve">5. Human Oversight</t>
  </si>
  <si>
    <t xml:space="preserve">Review Quality</t>
  </si>
  <si>
    <t xml:space="preserve">Ineffective Human Review Risk</t>
  </si>
  <si>
    <t xml:space="preserve">The risk that humans assigned to review, approve, challenge, or monitor the agent cannot do so effectively. Causes include insufficient expertise, missing context, excessive worklo...</t>
  </si>
  <si>
    <t xml:space="preserve">Reviewer lacks context/time/expertise; only ~1/3 of firms have mature governance.</t>
  </si>
  <si>
    <t xml:space="preserve">McKinsey 2026; Chan 2023; Art.14.</t>
  </si>
  <si>
    <t xml:space="preserve">Human Influence</t>
  </si>
  <si>
    <t xml:space="preserve">Overreliance and Manipulation Risk</t>
  </si>
  <si>
    <t xml:space="preserve">The risk that users, reviewers, operators, employees, or customers over-trust, follow, or are influenced by agent outputs, recommendations, explanations, tone, or persona in ways t...</t>
  </si>
  <si>
    <t xml:space="preserve">Human-agent trust exploitation / overreliance (ASI09); subtle.</t>
  </si>
  <si>
    <t xml:space="preserve">OWASP ASI09; NIST overreliance; Chan 2023.</t>
  </si>
  <si>
    <t xml:space="preserve">Drift Monitoring</t>
  </si>
  <si>
    <t xml:space="preserve">Behavioral Drift Risk</t>
  </si>
  <si>
    <t xml:space="preserve">The risk that changes in model behavior, prompts, tools, memory, data, permissions, policies, vendors, environments, or user interactions alter agent behavior without sufficient de...</t>
  </si>
  <si>
    <t xml:space="preserve">Post-deployment behaviour shifts (distribution shift; no formal guarantees).</t>
  </si>
  <si>
    <t xml:space="preserve">Fault taxonomies; EU AI Act Art.72.</t>
  </si>
  <si>
    <t xml:space="preserve">Incident Visibility</t>
  </si>
  <si>
    <t xml:space="preserve">Runtime Incident Detection Gap Risk</t>
  </si>
  <si>
    <t xml:space="preserve">The risk that harmful, anomalous, unsafe, non-compliant, or unexpected agent behavior is not detected, flagged, escalated, or recorded as incident-relevant evidence during operatio...</t>
  </si>
  <si>
    <t xml:space="preserve">Runtime incidents go undetected; monitoring faults recur; observability gaps.</t>
  </si>
  <si>
    <t xml:space="preserve">Fault taxonomies; FSB 2025.</t>
  </si>
  <si>
    <t xml:space="preserve">Constraint Adherence</t>
  </si>
  <si>
    <t xml:space="preserve">Policy and Compliance Violation Risk</t>
  </si>
  <si>
    <t xml:space="preserve">The risk that the agent violates legal, regulatory, policy, safety, ethical, conduct, customer-treatment, or business constraints while pursuing a goal. This includes unsafe compli...</t>
  </si>
  <si>
    <t xml:space="preserve">High</t>
  </si>
  <si>
    <t xml:space="preserve">Regulatory breach in a bank carries fines/licence risk (Annex III domains).</t>
  </si>
  <si>
    <t xml:space="preserve">EU AI Act; Kurshan 2025.</t>
  </si>
  <si>
    <t xml:space="preserve">Neutralization Control</t>
  </si>
  <si>
    <t xml:space="preserve">Kill-Switch / Shutdown Failure Risk</t>
  </si>
  <si>
    <t xml:space="preserve">The risk that a compromised, malfunctioning, unauthorized, or out-of-scope agent cannot be rapidly stopped, disabled, isolated, credential-stripped, rolled back, or prevented from ...</t>
  </si>
  <si>
    <t xml:space="preserve">Inability to stop an agent defeats containment; Art. 14 stop-button.</t>
  </si>
  <si>
    <t xml:space="preserve">OWASP (rogue agents); EU AI Act Art.14.</t>
  </si>
  <si>
    <t xml:space="preserve">Objective Drift Risk</t>
  </si>
  <si>
    <t xml:space="preserve">The risk that the agent gradually or abruptly diverges from the approved goal due to changing context, self-generated subgoals, feedback loops, proxy optimization, cumulative memor...</t>
  </si>
  <si>
    <t xml:space="preserve">Objective drifts gradually and silently under persistence/adaptation.</t>
  </si>
  <si>
    <t xml:space="preserve">Hammond 2025; TRiSM.</t>
  </si>
  <si>
    <t xml:space="preserve">Agent Impersonation / Attribution Risk</t>
  </si>
  <si>
    <t xml:space="preserve">The risk that a malicious, unauthorized, or incorrectly configured agent, user, service, or model is accepted as a legitimate actor, or that a legitimate agent’s actions cannot be ...</t>
  </si>
  <si>
    <t xml:space="preserve">Spoofed agents and an attribution gap in multi-agent settings.</t>
  </si>
  <si>
    <t xml:space="preserve">OWASP ASI03/07; identity-layer lit.</t>
  </si>
  <si>
    <t xml:space="preserve">Emergent Behavior</t>
  </si>
  <si>
    <t xml:space="preserve">Emergent Systemic Behavior Risk</t>
  </si>
  <si>
    <t xml:space="preserve">The risk that interactions among agents, tools, humans, incentives, feedback loops, markets, and environments produce harmful behavior that cannot be attributed to a single compone...</t>
  </si>
  <si>
    <t xml:space="preserve">Unpredictable system-level behaviour from interaction; emergent and opaque.</t>
  </si>
  <si>
    <t xml:space="preserve">Hammond 2025; Bisconti 2025 (ESRH).</t>
  </si>
  <si>
    <t xml:space="preserve">Evidence Quality</t>
  </si>
  <si>
    <t xml:space="preserve">Untrusted or Low-Quality Evidence Risk</t>
  </si>
  <si>
    <t xml:space="preserve">The risk that an agent relies on information whose source, provenance, authority, accuracy, approval status, or relevance is insufficient for the task. This includes using unapprov...</t>
  </si>
  <si>
    <t xml:space="preserve">Agent acts on unapproved/low-quality sources; wrong evidence drives wrong decisions.</t>
  </si>
  <si>
    <t xml:space="preserve">OWASP ASI06; hallucination lit.</t>
  </si>
  <si>
    <t xml:space="preserve">Data Disclosure</t>
  </si>
  <si>
    <t xml:space="preserve">Sensitive Data Leakage Risk</t>
  </si>
  <si>
    <t xml:space="preserve">The risk that the agent discloses, transmits, recalls, summarizes, logs, or exposes sensitive, regulated, proprietary, customer, employee, or confidential information outside the a...</t>
  </si>
  <si>
    <t xml:space="preserve">PII/confidential disclosure via tools/egress; GDPR + Art. 10 exposure.</t>
  </si>
  <si>
    <t xml:space="preserve">OWASP; EU AI Act Art.10 / GDPR.</t>
  </si>
  <si>
    <t xml:space="preserve">Factual Reliability</t>
  </si>
  <si>
    <t xml:space="preserve">Hallucination and Factual Grounding Risk</t>
  </si>
  <si>
    <t xml:space="preserve">The risk that the agent generates, relies on, or acts upon false, unsupported, misleading, outdated, or overconfident information. This includes factual hallucinations, unsupported...</t>
  </si>
  <si>
    <t xml:space="preserve">Pervasive (31%+ real-world, up to 60% complex); legal liability; grounding mitigates.</t>
  </si>
  <si>
    <t xml:space="preserve">Hallucination stats; Mata v. Avianca.</t>
  </si>
  <si>
    <t xml:space="preserve">Environment Isolation</t>
  </si>
  <si>
    <t xml:space="preserve">Sandbox Escape / Boundary Violation Risk</t>
  </si>
  <si>
    <t xml:space="preserve">The risk that the agent’s execution environment—such as a browser, terminal, code interpreter, file system, cloud workspace, or sandbox—permits interaction beyond intended boundari...</t>
  </si>
  <si>
    <t xml:space="preserve">Escaping isolation yields full compromise; less common but severe.</t>
  </si>
  <si>
    <t xml:space="preserve">OWASP ASI05; IsolateGPT.</t>
  </si>
  <si>
    <t xml:space="preserve">Ambiguity Handling</t>
  </si>
  <si>
    <t xml:space="preserve">Ambiguity-to-Action Risk</t>
  </si>
  <si>
    <t xml:space="preserve">The risk that the agent converts vague, incomplete, conflicting, or uncertain instructions into action instead of clarifying, escalating, or selecting a safer default. This include...</t>
  </si>
  <si>
    <t xml:space="preserve">Acting under ambiguity without clarifying; common with autonomy.</t>
  </si>
  <si>
    <t xml:space="preserve">OWASP ASI02; MAST.</t>
  </si>
  <si>
    <t xml:space="preserve">Traceability</t>
  </si>
  <si>
    <t xml:space="preserve">End-to-End Traceability Risk</t>
  </si>
  <si>
    <t xml:space="preserve">The risk that the agent’s prompt, context, memory, retrieved sources, tool calls, delegations, approvals, outputs, decisions, and actions cannot be reconstructed as a coherent end-...</t>
  </si>
  <si>
    <t xml:space="preserve">Multi-step trajectories cannot be reconstructed; blocks Art. 12 validation.</t>
  </si>
  <si>
    <t xml:space="preserve">EU AI Act Art.12/19; fault taxonomies.</t>
  </si>
  <si>
    <t xml:space="preserve">Explainability</t>
  </si>
  <si>
    <t xml:space="preserve">Explanation Faithfulness Risk</t>
  </si>
  <si>
    <t xml:space="preserve">The risk that explanations, rationales, chain-of-thought summaries, or post-hoc justifications do not faithfully represent the actual basis for the agent’s output or action. This i...</t>
  </si>
  <si>
    <t xml:space="preserve">Explanations rationalise rather than reflect true reasoning; faithfulness is very hard to verify.</t>
  </si>
  <si>
    <t xml:space="preserve">Explainability lit.; Chhabra 2026.</t>
  </si>
  <si>
    <t xml:space="preserve">Tainted Retrieval / Knowledge-Base Poisoning Risk</t>
  </si>
  <si>
    <t xml:space="preserve">The risk that retrieved evidence is deliberately or unintentionally corrupted before the agent consumes it. This includes poisoned RAG sources, manipulated vector-store content, co...</t>
  </si>
  <si>
    <t xml:space="preserve">Poisoned RAG/vector store; content looks legitimate so hard to catch.</t>
  </si>
  <si>
    <t xml:space="preserve">OWASP ASI06; EchoLeak CVE-2025-32711.</t>
  </si>
  <si>
    <t xml:space="preserve">Cascading Misinformation Risk</t>
  </si>
  <si>
    <t xml:space="preserve">The risk that false, biased, unsupported, or misleading information propagates across agents, tools, memory, workflows, or human decision processes and becomes amplified over time....</t>
  </si>
  <si>
    <t xml:space="preserve">Hallucination cascades through multi-agent chains via semantic contagion.</t>
  </si>
  <si>
    <t xml:space="preserve">Hammond 2025; MAST; hallucination-cascade lit.</t>
  </si>
  <si>
    <t xml:space="preserve">Reward Hacking / Specification Gaming Risk</t>
  </si>
  <si>
    <t xml:space="preserve">The risk that the agent optimizes a formal metric, reward signal, evaluation criterion, KPI, benchmark, or success condition in a way that satisfies the letter of the metric while ...</t>
  </si>
  <si>
    <t xml:space="preserve">Agent optimises a proxy and games the specification; success masks harm.</t>
  </si>
  <si>
    <t xml:space="preserve">Hammond 2025; Chan 2023.</t>
  </si>
  <si>
    <t xml:space="preserve">Plan Integrity</t>
  </si>
  <si>
    <t xml:space="preserve">Error Accumulation / Recovery Failure Risk</t>
  </si>
  <si>
    <t xml:space="preserve">The risk that errors occurring during a multi-step or long-running workflow are not detected, corrected, rolled back, or escalated, causing small failures to compound into material...</t>
  </si>
  <si>
    <t xml:space="preserve">Errors compound across long trajectories with no recovery.</t>
  </si>
  <si>
    <t xml:space="preserve">MAST (verification/termination); fault taxonomies.</t>
  </si>
  <si>
    <t xml:space="preserve">Tool-Output Integrity Risk</t>
  </si>
  <si>
    <t xml:space="preserve">The risk that outputs returned by tools, plugins, APIs, databases, browsers, or external services are incorrect, malformed, manipulated, stale, adversarial, or misinterpreted by th...</t>
  </si>
  <si>
    <t xml:space="preserve">Manipulated tool outputs are trusted and acted upon.</t>
  </si>
  <si>
    <t xml:space="preserve">OWASP ASI02.</t>
  </si>
  <si>
    <t xml:space="preserve">Evidence Alignment</t>
  </si>
  <si>
    <t xml:space="preserve">Evidence-to-Action Misalignment Risk</t>
  </si>
  <si>
    <t xml:space="preserve">The risk that the agent’s action is not adequately supported by the evidence, context, rationale, approval, or policy basis used to justify it. This includes acting on unsupported ...</t>
  </si>
  <si>
    <t xml:space="preserve">Action inconsistent with the evidence the agent holds.</t>
  </si>
  <si>
    <t xml:space="preserve">MAST (verification).</t>
  </si>
  <si>
    <t xml:space="preserve">Agent Inventory</t>
  </si>
  <si>
    <t xml:space="preserve">Shadow Agent / Inventory Gap Risk</t>
  </si>
  <si>
    <t xml:space="preserve">The risk that agents, versions, prompts, configurations, tools, permissions, owners, integrations, or lifecycle states are unknown, stale, duplicated, unmanaged, or outside approve...</t>
  </si>
  <si>
    <t xml:space="preserve">Undocumented agents inherit credentials; unknown by definition.</t>
  </si>
  <si>
    <t xml:space="preserve">OWASP ASI03 (shadow agents).</t>
  </si>
  <si>
    <t xml:space="preserve">Assurance Continuity</t>
  </si>
  <si>
    <t xml:space="preserve">Evaluation Validity / Regression Risk</t>
  </si>
  <si>
    <t xml:space="preserve">The risk that validation, testing, benchmark results, controls, or assurance evidence become invalid after changes to the model, prompt, retrieval source, tool, permission set, ven...</t>
  </si>
  <si>
    <t xml:space="preserve">Stale/contaminated evals give false assurance; benchmark gaming.</t>
  </si>
  <si>
    <t xml:space="preserve">Zhu 2025 (benchmark best practice); Farooq 2026.</t>
  </si>
  <si>
    <t xml:space="preserve">Inter-Agent Communication</t>
  </si>
  <si>
    <t xml:space="preserve">Inter-Agent Message Integrity Risk</t>
  </si>
  <si>
    <t xml:space="preserve">The risk that information, instructions, state, summaries, tool outputs, or decisions exchanged between agents are corrupted, incomplete, unauthenticated, manipulated, or misinterp...</t>
  </si>
  <si>
    <t xml:space="preserve">Spoofed/tampered agent-to-agent messages (ASI07); multi-agent nascent.</t>
  </si>
  <si>
    <t xml:space="preserve">OWASP ASI07.</t>
  </si>
  <si>
    <t xml:space="preserve">Multimodal or Cross-Modal Injection Risk</t>
  </si>
  <si>
    <t xml:space="preserve">The risk that adversarial instructions hidden in images, PDFs, screenshots, HTML, audio, metadata, formatted documents, or other modalities influence agent behavior without being v...</t>
  </si>
  <si>
    <t xml:space="preserve">Injection via images/audio; emerging but even harder to detect than text.</t>
  </si>
  <si>
    <t xml:space="preserve">OWASP; multimodal PI research.</t>
  </si>
  <si>
    <t xml:space="preserve">Miscoordination and Delegation Risk</t>
  </si>
  <si>
    <t xml:space="preserve">The risk that agents fail to coordinate, delegate, aggregate, sequence, or reconcile work effectively, leading to conflict, duplication, deadlock, lost context, inconsistent output...</t>
  </si>
  <si>
    <t xml:space="preserve">Agents miscoordinate/misdelegate; emergent from interaction.</t>
  </si>
  <si>
    <t xml:space="preserve">Hammond 2025 (miscoordination); MAST.</t>
  </si>
  <si>
    <t xml:space="preserve">Goal Specification</t>
  </si>
  <si>
    <t xml:space="preserve">Overbroad or Underspecified Mandate Risk</t>
  </si>
  <si>
    <t xml:space="preserve">The risk that the agent is given a mandate that is too broad, vague, unconstrained, or insufficiently bounded, allowing it to infer excessive discretion. This includes open-ended g...</t>
  </si>
  <si>
    <t xml:space="preserve">Excessive latitude lets the agent take material actions beyond intent.</t>
  </si>
  <si>
    <t xml:space="preserve">OWASP (excessive agency); Chan 2023.</t>
  </si>
  <si>
    <t xml:space="preserve">Accountability</t>
  </si>
  <si>
    <t xml:space="preserve">Accountability and Ownership Gap Risk</t>
  </si>
  <si>
    <t xml:space="preserve">The risk that responsibility for agent design, approval, deployment, behavior, exceptions, decisions, incidents, remediation, or retirement cannot be assigned to a clear accountabl...</t>
  </si>
  <si>
    <t xml:space="preserve">No clear owner for AI-driven decisions; a documented governance gap.</t>
  </si>
  <si>
    <t xml:space="preserve">Deloitte 2026; EU AI Act Art.26; Kurshan 2025.</t>
  </si>
  <si>
    <t xml:space="preserve">Dependency Management</t>
  </si>
  <si>
    <t xml:space="preserve">External Dependency Failure Risk</t>
  </si>
  <si>
    <t xml:space="preserve">The risk that external services, APIs, tools, model providers, data feeds, packages, infrastructure, connectors, storage systems, or runtime environments fail, degrade, change beha...</t>
  </si>
  <si>
    <t xml:space="preserve">Third-party tool/model/provider failure; critical-third-party concentration.</t>
  </si>
  <si>
    <t xml:space="preserve">Fault taxonomies; FSB (critical third parties).</t>
  </si>
  <si>
    <t xml:space="preserve">Goal Misinterpretation Risk</t>
  </si>
  <si>
    <t xml:space="preserve">The risk that the agent misunderstands, narrows, expands, or incorrectly operationalizes the user’s or organization’s intended objective. This includes misinterpreting ambiguous la...</t>
  </si>
  <si>
    <t xml:space="preserve">Underspecified goals are misread and decomposed into unintended subgoals.</t>
  </si>
  <si>
    <t xml:space="preserve">MAST (specification failures); Chan 2023.</t>
  </si>
  <si>
    <t xml:space="preserve">Unsafe Planning and Task Decomposition Risk</t>
  </si>
  <si>
    <t xml:space="preserve">The risk that the agent decomposes, sequences, delegates, or adapts a task in a way that omits necessary steps, inserts unsafe steps, performs actions in the wrong order, or bypass...</t>
  </si>
  <si>
    <t xml:space="preserve">Planning/decomposition is intrinsically agentic; unsafe plans emerge.</t>
  </si>
  <si>
    <t xml:space="preserve">MAST; Hammond 2025.</t>
  </si>
  <si>
    <t xml:space="preserve">Bias Amplification</t>
  </si>
  <si>
    <t xml:space="preserve">Agentic Bias Amplification Risk</t>
  </si>
  <si>
    <t xml:space="preserve">The risk that biased, unfair, discriminatory, or systematically skewed outcomes are amplified through repeated agent actions, retrieval choices, memory updates, feedback loops, del...</t>
  </si>
  <si>
    <t xml:space="preserve">Bias amplified through agent actions/loops; fair-lending/Annex III materiality.</t>
  </si>
  <si>
    <t xml:space="preserve">EU AI Act Annex III + Art.10; Deloitte (fair lending).</t>
  </si>
  <si>
    <t xml:space="preserve">Memory Consistency and Reproducibility Risk</t>
  </si>
  <si>
    <t xml:space="preserve">The risk that the agent’s memory, state, summaries, preferences, or contextual artifacts are inconsistently stored, retrieved, updated, serialized, deleted, or applied across sessi...</t>
  </si>
  <si>
    <t xml:space="preserve">Medium</t>
  </si>
  <si>
    <t xml:space="preserve">Non-reproducible memory undermines validation and repeatability.</t>
  </si>
  <si>
    <t xml:space="preserve">OWASP ASI06; agent-eval lit.</t>
  </si>
  <si>
    <t xml:space="preserve">Resource Control</t>
  </si>
  <si>
    <t xml:space="preserve">Unbounded Resource Consumption Risk</t>
  </si>
  <si>
    <t xml:space="preserve">The risk that the agent consumes compute, tokens, API calls, storage, bandwidth, human review capacity, workflow capacity, or financial budget beyond approved thresholds. This incl...</t>
  </si>
  <si>
    <t xml:space="preserve">Runaway compute/cost (LLM10); observable but frequent.</t>
  </si>
  <si>
    <t xml:space="preserve">OWASP LLM10 (unbounded consumption).</t>
  </si>
  <si>
    <t xml:space="preserve">Context Quality</t>
  </si>
  <si>
    <t xml:space="preserve">Context Sufficiency and Staleness Risk</t>
  </si>
  <si>
    <t xml:space="preserve">The risk that the agent operates with missing, stale, incomplete, excessive, irrelevant, or superseded context. This may occur when mandatory information is absent, current policie...</t>
  </si>
  <si>
    <t xml:space="preserve">Stale/superseded context is common; correctable once noticed.</t>
  </si>
  <si>
    <t xml:space="preserve">OWASP ASI06; industry outlooks.</t>
  </si>
  <si>
    <t xml:space="preserve">Context Saturation / Overload Risk</t>
  </si>
  <si>
    <t xml:space="preserve">The risk that the agent’s prompt, context window, working memory, retrieval bundle, shared state, or multi-agent conversation becomes overloaded, causing relevant information to be...</t>
  </si>
  <si>
    <t xml:space="preserve">Hallucination rises with larger inputs/complex context; frequent.</t>
  </si>
  <si>
    <t xml:space="preserve">Hallucination lit. (input-size effect).</t>
  </si>
  <si>
    <t xml:space="preserve">Loop Control</t>
  </si>
  <si>
    <t xml:space="preserve">Non-Termination and Recursive Loop Risk</t>
  </si>
  <si>
    <t xml:space="preserve">The risk that the agent fails to stop, retries excessively, enters recursive reasoning or delegation loops, repeatedly invokes tools, or continues execution despite unresolved unce...</t>
  </si>
  <si>
    <t xml:space="preserve">Loops mainly cost/availability; readily observable via telemetry.</t>
  </si>
  <si>
    <t xml:space="preserve">OWASP (unbounded); fault taxonomies.</t>
  </si>
  <si>
    <t xml:space="preserve">Mandate Control</t>
  </si>
  <si>
    <t xml:space="preserve">Mandate and Scope Ambiguity Risk</t>
  </si>
  <si>
    <t xml:space="preserve">The risk that the agent’s approved purpose, operating boundaries, prohibited activities, escalation triggers, authority limits, user population, or deployment context are unclear o...</t>
  </si>
  <si>
    <t xml:space="preserve">Unclear oversight mandate weakens governance.</t>
  </si>
  <si>
    <t xml:space="preserve">EU AI Act Art.14; governance reports.</t>
  </si>
  <si>
    <t xml:space="preserve">Skill Retention</t>
  </si>
  <si>
    <t xml:space="preserve">Human Fallback Capacity Risk</t>
  </si>
  <si>
    <t xml:space="preserve">The risk that reliance on agents reduces human expertise, institutional memory, manual process capability, or the ability to intervene during failure. This includes organizational ...</t>
  </si>
  <si>
    <t xml:space="preserve">Skill atrophy erodes the human's ability to take over.</t>
  </si>
  <si>
    <t xml:space="preserve">Chan 2023 (skill erosion).</t>
  </si>
  <si>
    <t xml:space="preserve">Log Usability</t>
  </si>
  <si>
    <t xml:space="preserve">Audit Log Usability Risk</t>
  </si>
  <si>
    <t xml:space="preserve">The risk that logs, traces, records, or transparency outputs exist but are too incomplete, fragmented, excessive, opaque, noisy, harmful, or poorly presented to support meaningful ...</t>
  </si>
  <si>
    <t xml:space="preserve">Logs exist but are not usable for reconstruction.</t>
  </si>
  <si>
    <t xml:space="preserve">EU AI Act Art.12; governance.</t>
  </si>
  <si>
    <t xml:space="preserve">Over-Retention / Privacy-Invasive Logging Risk</t>
  </si>
  <si>
    <t xml:space="preserve">The risk that the agent or its monitoring infrastructure retains more personal, sensitive, behavioral, or operational data than necessary for the approved purpose. This includes ex...</t>
  </si>
  <si>
    <t xml:space="preserve">Lower</t>
  </si>
  <si>
    <t xml:space="preserve">Excessive retention of sensitive data in logs; a privacy-hygiene control.</t>
  </si>
  <si>
    <t xml:space="preserve">EU AI Act Art.10 / GDPR.</t>
  </si>
  <si>
    <t xml:space="preserve">#</t>
  </si>
  <si>
    <t xml:space="preserve">Source</t>
  </si>
  <si>
    <t xml:space="preserve">Type</t>
  </si>
  <si>
    <t xml:space="preserve">What it evidences (S/O/A/D)</t>
  </si>
  <si>
    <t xml:space="preserve">OWASP Top 10 for Agentic Applications (ASI), 2026 ed. (Dec 2025)</t>
  </si>
  <si>
    <t xml:space="preserve">Peer-reviewed industry framework</t>
  </si>
  <si>
    <t xml:space="preserve">Severity &amp; prevalence of goal hijack, tool misuse, identity/privilege abuse, supply chain, code execution, memory poisoning, inter-agent, cascading, trust exploitation, rogue agents.</t>
  </si>
  <si>
    <t xml:space="preserve">OWASP Top 10 for LLM Applications 2025 (LLM01 prompt injection)</t>
  </si>
  <si>
    <t xml:space="preserve">Industry framework</t>
  </si>
  <si>
    <t xml:space="preserve">Prompt injection ranked #1 vulnerability.</t>
  </si>
  <si>
    <t xml:space="preserve">Zhan et al. 2025, 'Adaptive Attacks Break Defenses Against Indirect Prompt Injection' (NAACL Findings)</t>
  </si>
  <si>
    <t xml:space="preserve">Peer-reviewed paper</t>
  </si>
  <si>
    <t xml:space="preserve">Detection difficulty: 8 defenses bypassed, attack-success &gt;50%.</t>
  </si>
  <si>
    <t xml:space="preserve">OpenAI / Anthropic / Google DeepMind 2025 statements</t>
  </si>
  <si>
    <t xml:space="preserve">Vendor statements</t>
  </si>
  <si>
    <t xml:space="preserve">Prompt injection cannot be fully solved in current architectures (max D).</t>
  </si>
  <si>
    <t xml:space="preserve">EchoLeak (CVE-2025-32711, CVSS 9.3), M365 Copilot zero-click</t>
  </si>
  <si>
    <t xml:space="preserve">Disclosed vulnerability</t>
  </si>
  <si>
    <t xml:space="preserve">Severity/occurrence of indirect injection and data exfiltration in the wild.</t>
  </si>
  <si>
    <t xml:space="preserve">Hammond et al. 2025, 'Multi-Agent Risks from Advanced AI' (arXiv:2502.14143)</t>
  </si>
  <si>
    <t xml:space="preserve">Peer-reviewed report</t>
  </si>
  <si>
    <t xml:space="preserve">Miscoordination, conflict, collusion; correlated/cascading failures; emergent agency (A and D for ecosystem risks).</t>
  </si>
  <si>
    <t xml:space="preserve">Cemri et al. 2025, MAST taxonomy (1,600+ annotated multi-agent traces)</t>
  </si>
  <si>
    <t xml:space="preserve">Occurrence of specification, inter-agent, verification/termination failures.</t>
  </si>
  <si>
    <t xml:space="preserve">FSB 2025 / Bank of England FPC (April 2026 Record)</t>
  </si>
  <si>
    <t xml:space="preserve">Regulatory/central bank</t>
  </si>
  <si>
    <t xml:space="preserve">Systemic severity: correlated behaviour/herding, procyclicality, critical-third-party concentration.</t>
  </si>
  <si>
    <t xml:space="preserve">Deloitte, 'Managing the new wave of risks from AI agents in banking' (2026)</t>
  </si>
  <si>
    <t xml:space="preserve">Industry report</t>
  </si>
  <si>
    <t xml:space="preserve">Governance gaps, accountability, model-risk-exam/fair-lending exposure in banking.</t>
  </si>
  <si>
    <t xml:space="preserve">McKinsey 2026 AI Trust Maturity Survey (~500 orgs)</t>
  </si>
  <si>
    <t xml:space="preserve">Industry survey</t>
  </si>
  <si>
    <t xml:space="preserve">Shift to 'doing the wrong thing'; only ~1/3 of firms have mature agentic governance (oversight occurrence).</t>
  </si>
  <si>
    <t xml:space="preserve">Hallucination evidence (real-world 31.4%, up to 60% complex; 'inevitable' DefAn; Mata v. Avianca)</t>
  </si>
  <si>
    <t xml:space="preserve">Peer-reviewed + case law</t>
  </si>
  <si>
    <t xml:space="preserve">Occurrence and liability of factual-reliability risk.</t>
  </si>
  <si>
    <t xml:space="preserve">Deng et al. 2025 / Chhabra et al. 2026 agentic-AI security surveys</t>
  </si>
  <si>
    <t xml:space="preserve">Peer-reviewed surveys</t>
  </si>
  <si>
    <t xml:space="preserve">Breadth of agentic failure modes and their agentic amplification.</t>
  </si>
  <si>
    <t xml:space="preserve">EU AI Act (Reg. (EU) 2024/1689), Annex III + Arts. 9,10,12,14,15,26,72; EBA 2025 mapping</t>
  </si>
  <si>
    <t xml:space="preserve">Regulation</t>
  </si>
  <si>
    <t xml:space="preserve">Severity via regulatory materiality of credit/insurance high-risk uses and specific obligations.</t>
  </si>
  <si>
    <t xml:space="preserve">Kurshan et al. 2025, 'The Agentic Regulator' (arXiv:2512.11933)</t>
  </si>
  <si>
    <t xml:space="preserve">Preprint</t>
  </si>
  <si>
    <t xml:space="preserve">Sector adoption ($97B by 2027) and strain on model risk management.</t>
  </si>
  <si>
    <t xml:space="preserve">Bisconti et al. 2025, Emergent Systemic Risk Horizon (ESRH)</t>
  </si>
  <si>
    <t xml:space="preserve">Emergent systemic behaviour: interaction topology, cognitive opacity, objective divergence (A/D).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</si>
</sst>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EF7"/>
        <bgColor rgb="FFEAF3F4"/>
      </patternFill>
    </fill>
    <fill>
      <patternFill patternType="solid">
        <fgColor rgb="FFF4CCCC"/>
        <bgColor rgb="FFD9D9D9"/>
      </patternFill>
    </fill>
    <fill>
      <patternFill patternType="solid">
        <fgColor rgb="FFFCEFE6"/>
        <bgColor rgb="FFFDECEC"/>
      </patternFill>
    </fill>
    <fill>
      <patternFill patternType="solid">
        <fgColor rgb="FFE9F2EA"/>
        <bgColor rgb="FFEAF3F4"/>
      </patternFill>
    </fill>
    <fill>
      <patternFill patternType="solid">
        <fgColor rgb="FFFDECEC"/>
        <bgColor rgb="FFFCEFE6"/>
      </patternFill>
    </fill>
    <fill>
      <patternFill patternType="solid">
        <fgColor rgb="FFEAF3F4"/>
        <bgColor rgb="FFE9F2EA"/>
      </patternFill>
    </fill>
    <fill>
      <patternFill patternType="solid">
        <fgColor rgb="FFFBF6E9"/>
        <bgColor rgb="FFFCEFE6"/>
      </patternFill>
    </fill>
    <fill>
      <patternFill patternType="solid">
        <fgColor rgb="FFF2EEF5"/>
        <bgColor rgb="FFE8EEF7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FE6"/>
      </patternFill>
    </fill>
    <fill>
      <patternFill patternType="solid">
        <fgColor rgb="FFD9EAD3"/>
        <bgColor rgb="FFE9F2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BF6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EF7"/>
      <rgbColor rgb="FF808080"/>
      <rgbColor rgb="FF9999FF"/>
      <rgbColor rgb="FF993366"/>
      <rgbColor rgb="FFFFF2CC"/>
      <rgbColor rgb="FFEAF3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2EA"/>
      <rgbColor rgb="FFD9EAD3"/>
      <rgbColor rgb="FFFCE5CD"/>
      <rgbColor rgb="FFF2EEF5"/>
      <rgbColor rgb="FFFDECEC"/>
      <rgbColor rgb="FFFCEFE6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5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19.5" hidden="false" customHeight="true" outlineLevel="0" collapsed="false">
      <c r="A3" s="3" t="s">
        <v>2</v>
      </c>
    </row>
    <row r="4" customFormat="false" ht="19.5" hidden="false" customHeight="true" outlineLevel="0" collapsed="false">
      <c r="A4" s="3" t="s">
        <v>3</v>
      </c>
    </row>
    <row r="5" customFormat="false" ht="15" hidden="false" customHeight="true" outlineLevel="0" collapsed="false">
      <c r="A5" s="2"/>
    </row>
    <row r="6" customFormat="false" ht="19.5" hidden="false" customHeight="true" outlineLevel="0" collapsed="false">
      <c r="A6" s="4" t="s">
        <v>4</v>
      </c>
    </row>
    <row r="7" customFormat="false" ht="15" hidden="false" customHeight="true" outlineLevel="0" collapsed="false">
      <c r="A7" s="2" t="s">
        <v>5</v>
      </c>
    </row>
    <row r="8" customFormat="false" ht="15" hidden="false" customHeight="true" outlineLevel="0" collapsed="false">
      <c r="A8" s="2" t="s">
        <v>6</v>
      </c>
    </row>
    <row r="9" customFormat="false" ht="15" hidden="false" customHeight="true" outlineLevel="0" collapsed="false">
      <c r="A9" s="2" t="s">
        <v>7</v>
      </c>
    </row>
    <row r="10" customFormat="false" ht="15" hidden="false" customHeight="true" outlineLevel="0" collapsed="false">
      <c r="A10" s="2" t="s">
        <v>8</v>
      </c>
    </row>
    <row r="11" customFormat="false" ht="15" hidden="false" customHeight="true" outlineLevel="0" collapsed="false">
      <c r="A11" s="2"/>
    </row>
    <row r="12" customFormat="false" ht="19.5" hidden="false" customHeight="true" outlineLevel="0" collapsed="false">
      <c r="A12" s="3" t="s">
        <v>9</v>
      </c>
    </row>
    <row r="13" customFormat="false" ht="15" hidden="false" customHeight="true" outlineLevel="0" collapsed="false">
      <c r="A13" s="2"/>
    </row>
    <row r="14" customFormat="false" ht="15" hidden="false" customHeight="true" outlineLevel="0" collapsed="false">
      <c r="A14" s="2" t="s">
        <v>10</v>
      </c>
    </row>
    <row r="15" customFormat="false" ht="15" hidden="false" customHeight="tru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9" min="6" style="0" width="4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46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</row>
    <row r="2" customFormat="false" ht="55.2" hidden="false" customHeight="false" outlineLevel="0" collapsed="false">
      <c r="A2" s="6" t="n">
        <v>1</v>
      </c>
      <c r="B2" s="7" t="s">
        <v>26</v>
      </c>
      <c r="C2" s="7" t="s">
        <v>27</v>
      </c>
      <c r="D2" s="8" t="s">
        <v>28</v>
      </c>
      <c r="E2" s="8" t="s">
        <v>29</v>
      </c>
      <c r="F2" s="6" t="n">
        <v>5</v>
      </c>
      <c r="G2" s="6" t="n">
        <v>5</v>
      </c>
      <c r="H2" s="6" t="n">
        <v>5</v>
      </c>
      <c r="I2" s="6" t="n">
        <v>5</v>
      </c>
      <c r="J2" s="9" t="n">
        <f aca="false">0.35*F2+0.25*G2+0.25*H2+0.15*I2</f>
        <v>5</v>
      </c>
      <c r="K2" s="10" t="s">
        <v>30</v>
      </c>
      <c r="L2" s="6" t="s">
        <v>31</v>
      </c>
      <c r="M2" s="8" t="s">
        <v>32</v>
      </c>
      <c r="N2" s="8" t="s">
        <v>33</v>
      </c>
    </row>
    <row r="3" customFormat="false" ht="55.2" hidden="false" customHeight="false" outlineLevel="0" collapsed="false">
      <c r="A3" s="6" t="n">
        <v>2</v>
      </c>
      <c r="B3" s="11" t="s">
        <v>34</v>
      </c>
      <c r="C3" s="11" t="s">
        <v>35</v>
      </c>
      <c r="D3" s="8" t="s">
        <v>36</v>
      </c>
      <c r="E3" s="8" t="s">
        <v>37</v>
      </c>
      <c r="F3" s="6" t="n">
        <v>5</v>
      </c>
      <c r="G3" s="6" t="n">
        <v>3</v>
      </c>
      <c r="H3" s="6" t="n">
        <v>5</v>
      </c>
      <c r="I3" s="6" t="n">
        <v>5</v>
      </c>
      <c r="J3" s="9" t="n">
        <f aca="false">0.35*F3+0.25*G3+0.25*H3+0.15*I3</f>
        <v>4.5</v>
      </c>
      <c r="K3" s="10" t="s">
        <v>30</v>
      </c>
      <c r="L3" s="10" t="s">
        <v>38</v>
      </c>
      <c r="M3" s="8" t="s">
        <v>39</v>
      </c>
      <c r="N3" s="8" t="s">
        <v>40</v>
      </c>
    </row>
    <row r="4" customFormat="false" ht="55.2" hidden="false" customHeight="false" outlineLevel="0" collapsed="false">
      <c r="A4" s="6" t="n">
        <v>3</v>
      </c>
      <c r="B4" s="11" t="s">
        <v>34</v>
      </c>
      <c r="C4" s="11" t="s">
        <v>35</v>
      </c>
      <c r="D4" s="8" t="s">
        <v>41</v>
      </c>
      <c r="E4" s="8" t="s">
        <v>42</v>
      </c>
      <c r="F4" s="6" t="n">
        <v>5</v>
      </c>
      <c r="G4" s="6" t="n">
        <v>4</v>
      </c>
      <c r="H4" s="6" t="n">
        <v>5</v>
      </c>
      <c r="I4" s="6" t="n">
        <v>3</v>
      </c>
      <c r="J4" s="9" t="n">
        <f aca="false">0.35*F4+0.25*G4+0.25*H4+0.15*I4</f>
        <v>4.45</v>
      </c>
      <c r="K4" s="10" t="s">
        <v>30</v>
      </c>
      <c r="L4" s="6" t="s">
        <v>31</v>
      </c>
      <c r="M4" s="8" t="s">
        <v>43</v>
      </c>
      <c r="N4" s="8" t="s">
        <v>44</v>
      </c>
    </row>
    <row r="5" customFormat="false" ht="55.2" hidden="false" customHeight="false" outlineLevel="0" collapsed="false">
      <c r="A5" s="6" t="n">
        <v>4</v>
      </c>
      <c r="B5" s="12" t="s">
        <v>45</v>
      </c>
      <c r="C5" s="12" t="s">
        <v>46</v>
      </c>
      <c r="D5" s="8" t="s">
        <v>47</v>
      </c>
      <c r="E5" s="8" t="s">
        <v>48</v>
      </c>
      <c r="F5" s="6" t="n">
        <v>5</v>
      </c>
      <c r="G5" s="6" t="n">
        <v>3</v>
      </c>
      <c r="H5" s="6" t="n">
        <v>5</v>
      </c>
      <c r="I5" s="6" t="n">
        <v>4</v>
      </c>
      <c r="J5" s="9" t="n">
        <f aca="false">0.35*F5+0.25*G5+0.25*H5+0.15*I5</f>
        <v>4.35</v>
      </c>
      <c r="K5" s="10" t="s">
        <v>30</v>
      </c>
      <c r="L5" s="6" t="s">
        <v>31</v>
      </c>
      <c r="M5" s="8" t="s">
        <v>49</v>
      </c>
      <c r="N5" s="8" t="s">
        <v>50</v>
      </c>
    </row>
    <row r="6" customFormat="false" ht="55.2" hidden="false" customHeight="false" outlineLevel="0" collapsed="false">
      <c r="A6" s="6" t="n">
        <v>5</v>
      </c>
      <c r="B6" s="11" t="s">
        <v>34</v>
      </c>
      <c r="C6" s="11" t="s">
        <v>51</v>
      </c>
      <c r="D6" s="8" t="s">
        <v>52</v>
      </c>
      <c r="E6" s="8" t="s">
        <v>53</v>
      </c>
      <c r="F6" s="6" t="n">
        <v>5</v>
      </c>
      <c r="G6" s="6" t="n">
        <v>3</v>
      </c>
      <c r="H6" s="6" t="n">
        <v>5</v>
      </c>
      <c r="I6" s="6" t="n">
        <v>4</v>
      </c>
      <c r="J6" s="9" t="n">
        <f aca="false">0.35*F6+0.25*G6+0.25*H6+0.15*I6</f>
        <v>4.35</v>
      </c>
      <c r="K6" s="10" t="s">
        <v>30</v>
      </c>
      <c r="L6" s="10" t="s">
        <v>38</v>
      </c>
      <c r="M6" s="8" t="s">
        <v>54</v>
      </c>
      <c r="N6" s="8" t="s">
        <v>55</v>
      </c>
    </row>
    <row r="7" customFormat="false" ht="55.2" hidden="false" customHeight="false" outlineLevel="0" collapsed="false">
      <c r="A7" s="6" t="n">
        <v>6</v>
      </c>
      <c r="B7" s="13" t="s">
        <v>56</v>
      </c>
      <c r="C7" s="13" t="s">
        <v>57</v>
      </c>
      <c r="D7" s="8" t="s">
        <v>58</v>
      </c>
      <c r="E7" s="8" t="s">
        <v>59</v>
      </c>
      <c r="F7" s="6" t="n">
        <v>5</v>
      </c>
      <c r="G7" s="6" t="n">
        <v>3</v>
      </c>
      <c r="H7" s="6" t="n">
        <v>5</v>
      </c>
      <c r="I7" s="6" t="n">
        <v>4</v>
      </c>
      <c r="J7" s="9" t="n">
        <f aca="false">0.35*F7+0.25*G7+0.25*H7+0.15*I7</f>
        <v>4.35</v>
      </c>
      <c r="K7" s="10" t="s">
        <v>30</v>
      </c>
      <c r="L7" s="10" t="s">
        <v>38</v>
      </c>
      <c r="M7" s="8" t="s">
        <v>60</v>
      </c>
      <c r="N7" s="8" t="s">
        <v>61</v>
      </c>
    </row>
    <row r="8" customFormat="false" ht="55.2" hidden="false" customHeight="false" outlineLevel="0" collapsed="false">
      <c r="A8" s="6" t="n">
        <v>7</v>
      </c>
      <c r="B8" s="14" t="s">
        <v>62</v>
      </c>
      <c r="C8" s="14" t="s">
        <v>63</v>
      </c>
      <c r="D8" s="8" t="s">
        <v>64</v>
      </c>
      <c r="E8" s="8" t="s">
        <v>65</v>
      </c>
      <c r="F8" s="6" t="n">
        <v>5</v>
      </c>
      <c r="G8" s="6" t="n">
        <v>2</v>
      </c>
      <c r="H8" s="6" t="n">
        <v>5</v>
      </c>
      <c r="I8" s="6" t="n">
        <v>5</v>
      </c>
      <c r="J8" s="9" t="n">
        <f aca="false">0.35*F8+0.25*G8+0.25*H8+0.15*I8</f>
        <v>4.25</v>
      </c>
      <c r="K8" s="10" t="s">
        <v>30</v>
      </c>
      <c r="L8" s="6" t="s">
        <v>31</v>
      </c>
      <c r="M8" s="8" t="s">
        <v>66</v>
      </c>
      <c r="N8" s="8" t="s">
        <v>67</v>
      </c>
    </row>
    <row r="9" customFormat="false" ht="55.2" hidden="false" customHeight="false" outlineLevel="0" collapsed="false">
      <c r="A9" s="6" t="n">
        <v>8</v>
      </c>
      <c r="B9" s="15" t="s">
        <v>68</v>
      </c>
      <c r="C9" s="15" t="s">
        <v>69</v>
      </c>
      <c r="D9" s="8" t="s">
        <v>70</v>
      </c>
      <c r="E9" s="8" t="s">
        <v>71</v>
      </c>
      <c r="F9" s="6" t="n">
        <v>5</v>
      </c>
      <c r="G9" s="6" t="n">
        <v>2</v>
      </c>
      <c r="H9" s="6" t="n">
        <v>5</v>
      </c>
      <c r="I9" s="6" t="n">
        <v>5</v>
      </c>
      <c r="J9" s="9" t="n">
        <f aca="false">0.35*F9+0.25*G9+0.25*H9+0.15*I9</f>
        <v>4.25</v>
      </c>
      <c r="K9" s="10" t="s">
        <v>30</v>
      </c>
      <c r="L9" s="6" t="s">
        <v>31</v>
      </c>
      <c r="M9" s="8" t="s">
        <v>72</v>
      </c>
      <c r="N9" s="8" t="s">
        <v>73</v>
      </c>
    </row>
    <row r="10" customFormat="false" ht="55.2" hidden="false" customHeight="false" outlineLevel="0" collapsed="false">
      <c r="A10" s="6" t="n">
        <v>9</v>
      </c>
      <c r="B10" s="13" t="s">
        <v>56</v>
      </c>
      <c r="C10" s="13" t="s">
        <v>74</v>
      </c>
      <c r="D10" s="8" t="s">
        <v>75</v>
      </c>
      <c r="E10" s="8" t="s">
        <v>76</v>
      </c>
      <c r="F10" s="6" t="n">
        <v>5</v>
      </c>
      <c r="G10" s="6" t="n">
        <v>3</v>
      </c>
      <c r="H10" s="6" t="n">
        <v>5</v>
      </c>
      <c r="I10" s="6" t="n">
        <v>3</v>
      </c>
      <c r="J10" s="9" t="n">
        <f aca="false">0.35*F10+0.25*G10+0.25*H10+0.15*I10</f>
        <v>4.2</v>
      </c>
      <c r="K10" s="10" t="s">
        <v>30</v>
      </c>
      <c r="L10" s="6" t="s">
        <v>31</v>
      </c>
      <c r="M10" s="8" t="s">
        <v>77</v>
      </c>
      <c r="N10" s="8" t="s">
        <v>78</v>
      </c>
    </row>
    <row r="11" customFormat="false" ht="55.2" hidden="false" customHeight="false" outlineLevel="0" collapsed="false">
      <c r="A11" s="6" t="n">
        <v>10</v>
      </c>
      <c r="B11" s="13" t="s">
        <v>56</v>
      </c>
      <c r="C11" s="13" t="s">
        <v>79</v>
      </c>
      <c r="D11" s="8" t="s">
        <v>80</v>
      </c>
      <c r="E11" s="8" t="s">
        <v>81</v>
      </c>
      <c r="F11" s="6" t="n">
        <v>5</v>
      </c>
      <c r="G11" s="6" t="n">
        <v>3</v>
      </c>
      <c r="H11" s="6" t="n">
        <v>5</v>
      </c>
      <c r="I11" s="6" t="n">
        <v>3</v>
      </c>
      <c r="J11" s="9" t="n">
        <f aca="false">0.35*F11+0.25*G11+0.25*H11+0.15*I11</f>
        <v>4.2</v>
      </c>
      <c r="K11" s="10" t="s">
        <v>30</v>
      </c>
      <c r="L11" s="6" t="s">
        <v>31</v>
      </c>
      <c r="M11" s="8" t="s">
        <v>82</v>
      </c>
      <c r="N11" s="8" t="s">
        <v>83</v>
      </c>
    </row>
    <row r="12" customFormat="false" ht="55.2" hidden="false" customHeight="false" outlineLevel="0" collapsed="false">
      <c r="A12" s="6" t="n">
        <v>11</v>
      </c>
      <c r="B12" s="7" t="s">
        <v>26</v>
      </c>
      <c r="C12" s="7" t="s">
        <v>84</v>
      </c>
      <c r="D12" s="8" t="s">
        <v>85</v>
      </c>
      <c r="E12" s="8" t="s">
        <v>86</v>
      </c>
      <c r="F12" s="6" t="n">
        <v>4</v>
      </c>
      <c r="G12" s="6" t="n">
        <v>3</v>
      </c>
      <c r="H12" s="6" t="n">
        <v>5</v>
      </c>
      <c r="I12" s="6" t="n">
        <v>5</v>
      </c>
      <c r="J12" s="9" t="n">
        <f aca="false">0.35*F12+0.25*G12+0.25*H12+0.15*I12</f>
        <v>4.15</v>
      </c>
      <c r="K12" s="10" t="s">
        <v>30</v>
      </c>
      <c r="L12" s="10" t="s">
        <v>38</v>
      </c>
      <c r="M12" s="8" t="s">
        <v>87</v>
      </c>
      <c r="N12" s="8" t="s">
        <v>88</v>
      </c>
    </row>
    <row r="13" customFormat="false" ht="55.2" hidden="false" customHeight="false" outlineLevel="0" collapsed="false">
      <c r="A13" s="6" t="n">
        <v>12</v>
      </c>
      <c r="B13" s="11" t="s">
        <v>34</v>
      </c>
      <c r="C13" s="11" t="s">
        <v>89</v>
      </c>
      <c r="D13" s="8" t="s">
        <v>90</v>
      </c>
      <c r="E13" s="8" t="s">
        <v>91</v>
      </c>
      <c r="F13" s="6" t="n">
        <v>4</v>
      </c>
      <c r="G13" s="6" t="n">
        <v>4</v>
      </c>
      <c r="H13" s="6" t="n">
        <v>5</v>
      </c>
      <c r="I13" s="6" t="n">
        <v>3</v>
      </c>
      <c r="J13" s="9" t="n">
        <f aca="false">0.35*F13+0.25*G13+0.25*H13+0.15*I13</f>
        <v>4.1</v>
      </c>
      <c r="K13" s="10" t="s">
        <v>30</v>
      </c>
      <c r="L13" s="6" t="s">
        <v>31</v>
      </c>
      <c r="M13" s="8" t="s">
        <v>92</v>
      </c>
      <c r="N13" s="8" t="s">
        <v>93</v>
      </c>
    </row>
    <row r="14" customFormat="false" ht="55.2" hidden="false" customHeight="false" outlineLevel="0" collapsed="false">
      <c r="A14" s="6" t="n">
        <v>13</v>
      </c>
      <c r="B14" s="15" t="s">
        <v>68</v>
      </c>
      <c r="C14" s="15" t="s">
        <v>94</v>
      </c>
      <c r="D14" s="8" t="s">
        <v>95</v>
      </c>
      <c r="E14" s="8" t="s">
        <v>96</v>
      </c>
      <c r="F14" s="6" t="n">
        <v>5</v>
      </c>
      <c r="G14" s="6" t="n">
        <v>2</v>
      </c>
      <c r="H14" s="6" t="n">
        <v>5</v>
      </c>
      <c r="I14" s="6" t="n">
        <v>4</v>
      </c>
      <c r="J14" s="9" t="n">
        <f aca="false">0.35*F14+0.25*G14+0.25*H14+0.15*I14</f>
        <v>4.1</v>
      </c>
      <c r="K14" s="10" t="s">
        <v>30</v>
      </c>
      <c r="L14" s="6" t="s">
        <v>31</v>
      </c>
      <c r="M14" s="8" t="s">
        <v>97</v>
      </c>
      <c r="N14" s="8" t="s">
        <v>98</v>
      </c>
    </row>
    <row r="15" customFormat="false" ht="55.2" hidden="false" customHeight="false" outlineLevel="0" collapsed="false">
      <c r="A15" s="6" t="n">
        <v>14</v>
      </c>
      <c r="B15" s="15" t="s">
        <v>68</v>
      </c>
      <c r="C15" s="15" t="s">
        <v>99</v>
      </c>
      <c r="D15" s="8" t="s">
        <v>100</v>
      </c>
      <c r="E15" s="8" t="s">
        <v>101</v>
      </c>
      <c r="F15" s="6" t="n">
        <v>5</v>
      </c>
      <c r="G15" s="6" t="n">
        <v>3</v>
      </c>
      <c r="H15" s="6" t="n">
        <v>4</v>
      </c>
      <c r="I15" s="6" t="n">
        <v>4</v>
      </c>
      <c r="J15" s="9" t="n">
        <f aca="false">0.35*F15+0.25*G15+0.25*H15+0.15*I15</f>
        <v>4.1</v>
      </c>
      <c r="K15" s="10" t="s">
        <v>30</v>
      </c>
      <c r="L15" s="6" t="s">
        <v>31</v>
      </c>
      <c r="M15" s="8" t="s">
        <v>102</v>
      </c>
      <c r="N15" s="8" t="s">
        <v>103</v>
      </c>
    </row>
    <row r="16" customFormat="false" ht="55.2" hidden="false" customHeight="false" outlineLevel="0" collapsed="false">
      <c r="A16" s="6" t="n">
        <v>15</v>
      </c>
      <c r="B16" s="11" t="s">
        <v>34</v>
      </c>
      <c r="C16" s="11" t="s">
        <v>104</v>
      </c>
      <c r="D16" s="8" t="s">
        <v>105</v>
      </c>
      <c r="E16" s="8" t="s">
        <v>106</v>
      </c>
      <c r="F16" s="6" t="n">
        <v>4</v>
      </c>
      <c r="G16" s="6" t="n">
        <v>3</v>
      </c>
      <c r="H16" s="6" t="n">
        <v>5</v>
      </c>
      <c r="I16" s="6" t="n">
        <v>4</v>
      </c>
      <c r="J16" s="9" t="n">
        <f aca="false">0.35*F16+0.25*G16+0.25*H16+0.15*I16</f>
        <v>4</v>
      </c>
      <c r="K16" s="10" t="s">
        <v>30</v>
      </c>
      <c r="L16" s="10" t="s">
        <v>38</v>
      </c>
      <c r="M16" s="8" t="s">
        <v>107</v>
      </c>
      <c r="N16" s="8" t="s">
        <v>108</v>
      </c>
    </row>
    <row r="17" customFormat="false" ht="55.2" hidden="false" customHeight="false" outlineLevel="0" collapsed="false">
      <c r="A17" s="6" t="n">
        <v>16</v>
      </c>
      <c r="B17" s="13" t="s">
        <v>56</v>
      </c>
      <c r="C17" s="13" t="s">
        <v>74</v>
      </c>
      <c r="D17" s="8" t="s">
        <v>109</v>
      </c>
      <c r="E17" s="8" t="s">
        <v>110</v>
      </c>
      <c r="F17" s="6" t="n">
        <v>4</v>
      </c>
      <c r="G17" s="6" t="n">
        <v>4</v>
      </c>
      <c r="H17" s="6" t="n">
        <v>4</v>
      </c>
      <c r="I17" s="6" t="n">
        <v>4</v>
      </c>
      <c r="J17" s="9" t="n">
        <f aca="false">0.35*F17+0.25*G17+0.25*H17+0.15*I17</f>
        <v>4</v>
      </c>
      <c r="K17" s="10" t="s">
        <v>30</v>
      </c>
      <c r="L17" s="10" t="s">
        <v>38</v>
      </c>
      <c r="M17" s="8" t="s">
        <v>111</v>
      </c>
      <c r="N17" s="8" t="s">
        <v>112</v>
      </c>
    </row>
    <row r="18" customFormat="false" ht="55.2" hidden="false" customHeight="false" outlineLevel="0" collapsed="false">
      <c r="A18" s="6" t="n">
        <v>17</v>
      </c>
      <c r="B18" s="16" t="s">
        <v>113</v>
      </c>
      <c r="C18" s="16" t="s">
        <v>114</v>
      </c>
      <c r="D18" s="8" t="s">
        <v>115</v>
      </c>
      <c r="E18" s="8" t="s">
        <v>116</v>
      </c>
      <c r="F18" s="6" t="n">
        <v>4</v>
      </c>
      <c r="G18" s="6" t="n">
        <v>4</v>
      </c>
      <c r="H18" s="6" t="n">
        <v>4</v>
      </c>
      <c r="I18" s="6" t="n">
        <v>4</v>
      </c>
      <c r="J18" s="9" t="n">
        <f aca="false">0.35*F18+0.25*G18+0.25*H18+0.15*I18</f>
        <v>4</v>
      </c>
      <c r="K18" s="10" t="s">
        <v>30</v>
      </c>
      <c r="L18" s="6" t="s">
        <v>31</v>
      </c>
      <c r="M18" s="8" t="s">
        <v>117</v>
      </c>
      <c r="N18" s="8" t="s">
        <v>118</v>
      </c>
    </row>
    <row r="19" customFormat="false" ht="55.2" hidden="false" customHeight="false" outlineLevel="0" collapsed="false">
      <c r="A19" s="6" t="n">
        <v>18</v>
      </c>
      <c r="B19" s="16" t="s">
        <v>113</v>
      </c>
      <c r="C19" s="16" t="s">
        <v>119</v>
      </c>
      <c r="D19" s="8" t="s">
        <v>120</v>
      </c>
      <c r="E19" s="8" t="s">
        <v>121</v>
      </c>
      <c r="F19" s="6" t="n">
        <v>4</v>
      </c>
      <c r="G19" s="6" t="n">
        <v>4</v>
      </c>
      <c r="H19" s="6" t="n">
        <v>4</v>
      </c>
      <c r="I19" s="6" t="n">
        <v>4</v>
      </c>
      <c r="J19" s="9" t="n">
        <f aca="false">0.35*F19+0.25*G19+0.25*H19+0.15*I19</f>
        <v>4</v>
      </c>
      <c r="K19" s="10" t="s">
        <v>30</v>
      </c>
      <c r="L19" s="6" t="s">
        <v>31</v>
      </c>
      <c r="M19" s="8" t="s">
        <v>122</v>
      </c>
      <c r="N19" s="8" t="s">
        <v>123</v>
      </c>
    </row>
    <row r="20" customFormat="false" ht="55.2" hidden="false" customHeight="false" outlineLevel="0" collapsed="false">
      <c r="A20" s="6" t="n">
        <v>19</v>
      </c>
      <c r="B20" s="14" t="s">
        <v>62</v>
      </c>
      <c r="C20" s="14" t="s">
        <v>124</v>
      </c>
      <c r="D20" s="8" t="s">
        <v>125</v>
      </c>
      <c r="E20" s="8" t="s">
        <v>126</v>
      </c>
      <c r="F20" s="6" t="n">
        <v>4</v>
      </c>
      <c r="G20" s="6" t="n">
        <v>4</v>
      </c>
      <c r="H20" s="6" t="n">
        <v>4</v>
      </c>
      <c r="I20" s="6" t="n">
        <v>4</v>
      </c>
      <c r="J20" s="9" t="n">
        <f aca="false">0.35*F20+0.25*G20+0.25*H20+0.15*I20</f>
        <v>4</v>
      </c>
      <c r="K20" s="10" t="s">
        <v>30</v>
      </c>
      <c r="L20" s="6" t="s">
        <v>31</v>
      </c>
      <c r="M20" s="8" t="s">
        <v>127</v>
      </c>
      <c r="N20" s="8" t="s">
        <v>128</v>
      </c>
    </row>
    <row r="21" customFormat="false" ht="55.2" hidden="false" customHeight="false" outlineLevel="0" collapsed="false">
      <c r="A21" s="6" t="n">
        <v>20</v>
      </c>
      <c r="B21" s="14" t="s">
        <v>62</v>
      </c>
      <c r="C21" s="14" t="s">
        <v>129</v>
      </c>
      <c r="D21" s="8" t="s">
        <v>130</v>
      </c>
      <c r="E21" s="8" t="s">
        <v>131</v>
      </c>
      <c r="F21" s="6" t="n">
        <v>4</v>
      </c>
      <c r="G21" s="6" t="n">
        <v>4</v>
      </c>
      <c r="H21" s="6" t="n">
        <v>4</v>
      </c>
      <c r="I21" s="6" t="n">
        <v>4</v>
      </c>
      <c r="J21" s="9" t="n">
        <f aca="false">0.35*F21+0.25*G21+0.25*H21+0.15*I21</f>
        <v>4</v>
      </c>
      <c r="K21" s="10" t="s">
        <v>30</v>
      </c>
      <c r="L21" s="6" t="s">
        <v>31</v>
      </c>
      <c r="M21" s="8" t="s">
        <v>132</v>
      </c>
      <c r="N21" s="8" t="s">
        <v>133</v>
      </c>
    </row>
    <row r="22" customFormat="false" ht="55.2" hidden="false" customHeight="false" outlineLevel="0" collapsed="false">
      <c r="A22" s="6" t="n">
        <v>21</v>
      </c>
      <c r="B22" s="12" t="s">
        <v>45</v>
      </c>
      <c r="C22" s="12" t="s">
        <v>134</v>
      </c>
      <c r="D22" s="8" t="s">
        <v>135</v>
      </c>
      <c r="E22" s="8" t="s">
        <v>136</v>
      </c>
      <c r="F22" s="6" t="n">
        <v>5</v>
      </c>
      <c r="G22" s="6" t="n">
        <v>3</v>
      </c>
      <c r="H22" s="6" t="n">
        <v>4</v>
      </c>
      <c r="I22" s="6" t="n">
        <v>3</v>
      </c>
      <c r="J22" s="9" t="n">
        <f aca="false">0.35*F22+0.25*G22+0.25*H22+0.15*I22</f>
        <v>3.95</v>
      </c>
      <c r="K22" s="17" t="s">
        <v>137</v>
      </c>
      <c r="L22" s="6" t="s">
        <v>31</v>
      </c>
      <c r="M22" s="8" t="s">
        <v>138</v>
      </c>
      <c r="N22" s="8" t="s">
        <v>139</v>
      </c>
    </row>
    <row r="23" customFormat="false" ht="55.2" hidden="false" customHeight="false" outlineLevel="0" collapsed="false">
      <c r="A23" s="6" t="n">
        <v>22</v>
      </c>
      <c r="B23" s="11" t="s">
        <v>34</v>
      </c>
      <c r="C23" s="11" t="s">
        <v>140</v>
      </c>
      <c r="D23" s="8" t="s">
        <v>141</v>
      </c>
      <c r="E23" s="8" t="s">
        <v>142</v>
      </c>
      <c r="F23" s="6" t="n">
        <v>5</v>
      </c>
      <c r="G23" s="6" t="n">
        <v>2</v>
      </c>
      <c r="H23" s="6" t="n">
        <v>5</v>
      </c>
      <c r="I23" s="6" t="n">
        <v>3</v>
      </c>
      <c r="J23" s="9" t="n">
        <f aca="false">0.35*F23+0.25*G23+0.25*H23+0.15*I23</f>
        <v>3.95</v>
      </c>
      <c r="K23" s="17" t="s">
        <v>137</v>
      </c>
      <c r="L23" s="6" t="s">
        <v>31</v>
      </c>
      <c r="M23" s="8" t="s">
        <v>143</v>
      </c>
      <c r="N23" s="8" t="s">
        <v>144</v>
      </c>
    </row>
    <row r="24" customFormat="false" ht="55.2" hidden="false" customHeight="false" outlineLevel="0" collapsed="false">
      <c r="A24" s="6" t="n">
        <v>23</v>
      </c>
      <c r="B24" s="12" t="s">
        <v>45</v>
      </c>
      <c r="C24" s="12" t="s">
        <v>46</v>
      </c>
      <c r="D24" s="8" t="s">
        <v>145</v>
      </c>
      <c r="E24" s="8" t="s">
        <v>146</v>
      </c>
      <c r="F24" s="6" t="n">
        <v>4</v>
      </c>
      <c r="G24" s="6" t="n">
        <v>2</v>
      </c>
      <c r="H24" s="6" t="n">
        <v>5</v>
      </c>
      <c r="I24" s="6" t="n">
        <v>5</v>
      </c>
      <c r="J24" s="9" t="n">
        <f aca="false">0.35*F24+0.25*G24+0.25*H24+0.15*I24</f>
        <v>3.9</v>
      </c>
      <c r="K24" s="17" t="s">
        <v>137</v>
      </c>
      <c r="L24" s="10" t="s">
        <v>38</v>
      </c>
      <c r="M24" s="8" t="s">
        <v>147</v>
      </c>
      <c r="N24" s="8" t="s">
        <v>148</v>
      </c>
    </row>
    <row r="25" customFormat="false" ht="55.2" hidden="false" customHeight="false" outlineLevel="0" collapsed="false">
      <c r="A25" s="6" t="n">
        <v>24</v>
      </c>
      <c r="B25" s="11" t="s">
        <v>34</v>
      </c>
      <c r="C25" s="11" t="s">
        <v>51</v>
      </c>
      <c r="D25" s="8" t="s">
        <v>149</v>
      </c>
      <c r="E25" s="8" t="s">
        <v>150</v>
      </c>
      <c r="F25" s="6" t="n">
        <v>4</v>
      </c>
      <c r="G25" s="6" t="n">
        <v>2</v>
      </c>
      <c r="H25" s="6" t="n">
        <v>5</v>
      </c>
      <c r="I25" s="6" t="n">
        <v>5</v>
      </c>
      <c r="J25" s="9" t="n">
        <f aca="false">0.35*F25+0.25*G25+0.25*H25+0.15*I25</f>
        <v>3.9</v>
      </c>
      <c r="K25" s="17" t="s">
        <v>137</v>
      </c>
      <c r="L25" s="6" t="s">
        <v>31</v>
      </c>
      <c r="M25" s="8" t="s">
        <v>151</v>
      </c>
      <c r="N25" s="8" t="s">
        <v>152</v>
      </c>
    </row>
    <row r="26" customFormat="false" ht="55.2" hidden="false" customHeight="false" outlineLevel="0" collapsed="false">
      <c r="A26" s="6" t="n">
        <v>25</v>
      </c>
      <c r="B26" s="15" t="s">
        <v>68</v>
      </c>
      <c r="C26" s="15" t="s">
        <v>153</v>
      </c>
      <c r="D26" s="8" t="s">
        <v>154</v>
      </c>
      <c r="E26" s="8" t="s">
        <v>155</v>
      </c>
      <c r="F26" s="6" t="n">
        <v>4</v>
      </c>
      <c r="G26" s="6" t="n">
        <v>2</v>
      </c>
      <c r="H26" s="6" t="n">
        <v>5</v>
      </c>
      <c r="I26" s="6" t="n">
        <v>5</v>
      </c>
      <c r="J26" s="9" t="n">
        <f aca="false">0.35*F26+0.25*G26+0.25*H26+0.15*I26</f>
        <v>3.9</v>
      </c>
      <c r="K26" s="17" t="s">
        <v>137</v>
      </c>
      <c r="L26" s="6" t="s">
        <v>31</v>
      </c>
      <c r="M26" s="8" t="s">
        <v>156</v>
      </c>
      <c r="N26" s="8" t="s">
        <v>157</v>
      </c>
    </row>
    <row r="27" customFormat="false" ht="55.2" hidden="false" customHeight="false" outlineLevel="0" collapsed="false">
      <c r="A27" s="6" t="n">
        <v>26</v>
      </c>
      <c r="B27" s="7" t="s">
        <v>26</v>
      </c>
      <c r="C27" s="7" t="s">
        <v>158</v>
      </c>
      <c r="D27" s="8" t="s">
        <v>159</v>
      </c>
      <c r="E27" s="8" t="s">
        <v>160</v>
      </c>
      <c r="F27" s="6" t="n">
        <v>4</v>
      </c>
      <c r="G27" s="6" t="n">
        <v>4</v>
      </c>
      <c r="H27" s="6" t="n">
        <v>4</v>
      </c>
      <c r="I27" s="6" t="n">
        <v>3</v>
      </c>
      <c r="J27" s="9" t="n">
        <f aca="false">0.35*F27+0.25*G27+0.25*H27+0.15*I27</f>
        <v>3.85</v>
      </c>
      <c r="K27" s="17" t="s">
        <v>137</v>
      </c>
      <c r="L27" s="6" t="s">
        <v>31</v>
      </c>
      <c r="M27" s="8" t="s">
        <v>161</v>
      </c>
      <c r="N27" s="8" t="s">
        <v>162</v>
      </c>
    </row>
    <row r="28" customFormat="false" ht="55.2" hidden="false" customHeight="false" outlineLevel="0" collapsed="false">
      <c r="A28" s="6" t="n">
        <v>27</v>
      </c>
      <c r="B28" s="7" t="s">
        <v>26</v>
      </c>
      <c r="C28" s="7" t="s">
        <v>163</v>
      </c>
      <c r="D28" s="8" t="s">
        <v>164</v>
      </c>
      <c r="E28" s="8" t="s">
        <v>165</v>
      </c>
      <c r="F28" s="6" t="n">
        <v>4</v>
      </c>
      <c r="G28" s="6" t="n">
        <v>4</v>
      </c>
      <c r="H28" s="6" t="n">
        <v>4</v>
      </c>
      <c r="I28" s="6" t="n">
        <v>3</v>
      </c>
      <c r="J28" s="9" t="n">
        <f aca="false">0.35*F28+0.25*G28+0.25*H28+0.15*I28</f>
        <v>3.85</v>
      </c>
      <c r="K28" s="17" t="s">
        <v>137</v>
      </c>
      <c r="L28" s="6" t="s">
        <v>31</v>
      </c>
      <c r="M28" s="8" t="s">
        <v>166</v>
      </c>
      <c r="N28" s="8" t="s">
        <v>167</v>
      </c>
    </row>
    <row r="29" customFormat="false" ht="55.2" hidden="false" customHeight="false" outlineLevel="0" collapsed="false">
      <c r="A29" s="6" t="n">
        <v>28</v>
      </c>
      <c r="B29" s="7" t="s">
        <v>26</v>
      </c>
      <c r="C29" s="7" t="s">
        <v>168</v>
      </c>
      <c r="D29" s="8" t="s">
        <v>169</v>
      </c>
      <c r="E29" s="8" t="s">
        <v>170</v>
      </c>
      <c r="F29" s="6" t="n">
        <v>4</v>
      </c>
      <c r="G29" s="6" t="n">
        <v>5</v>
      </c>
      <c r="H29" s="6" t="n">
        <v>3</v>
      </c>
      <c r="I29" s="6" t="n">
        <v>3</v>
      </c>
      <c r="J29" s="9" t="n">
        <f aca="false">0.35*F29+0.25*G29+0.25*H29+0.15*I29</f>
        <v>3.85</v>
      </c>
      <c r="K29" s="17" t="s">
        <v>137</v>
      </c>
      <c r="L29" s="6" t="s">
        <v>31</v>
      </c>
      <c r="M29" s="8" t="s">
        <v>171</v>
      </c>
      <c r="N29" s="8" t="s">
        <v>172</v>
      </c>
    </row>
    <row r="30" customFormat="false" ht="55.2" hidden="false" customHeight="false" outlineLevel="0" collapsed="false">
      <c r="A30" s="6" t="n">
        <v>29</v>
      </c>
      <c r="B30" s="11" t="s">
        <v>34</v>
      </c>
      <c r="C30" s="11" t="s">
        <v>173</v>
      </c>
      <c r="D30" s="8" t="s">
        <v>174</v>
      </c>
      <c r="E30" s="8" t="s">
        <v>175</v>
      </c>
      <c r="F30" s="6" t="n">
        <v>5</v>
      </c>
      <c r="G30" s="6" t="n">
        <v>2</v>
      </c>
      <c r="H30" s="6" t="n">
        <v>4</v>
      </c>
      <c r="I30" s="6" t="n">
        <v>4</v>
      </c>
      <c r="J30" s="9" t="n">
        <f aca="false">0.35*F30+0.25*G30+0.25*H30+0.15*I30</f>
        <v>3.85</v>
      </c>
      <c r="K30" s="17" t="s">
        <v>137</v>
      </c>
      <c r="L30" s="6" t="s">
        <v>31</v>
      </c>
      <c r="M30" s="8" t="s">
        <v>176</v>
      </c>
      <c r="N30" s="8" t="s">
        <v>177</v>
      </c>
    </row>
    <row r="31" customFormat="false" ht="55.2" hidden="false" customHeight="false" outlineLevel="0" collapsed="false">
      <c r="A31" s="6" t="n">
        <v>30</v>
      </c>
      <c r="B31" s="13" t="s">
        <v>56</v>
      </c>
      <c r="C31" s="13" t="s">
        <v>178</v>
      </c>
      <c r="D31" s="8" t="s">
        <v>179</v>
      </c>
      <c r="E31" s="8" t="s">
        <v>180</v>
      </c>
      <c r="F31" s="6" t="n">
        <v>4</v>
      </c>
      <c r="G31" s="6" t="n">
        <v>4</v>
      </c>
      <c r="H31" s="6" t="n">
        <v>4</v>
      </c>
      <c r="I31" s="6" t="n">
        <v>3</v>
      </c>
      <c r="J31" s="9" t="n">
        <f aca="false">0.35*F31+0.25*G31+0.25*H31+0.15*I31</f>
        <v>3.85</v>
      </c>
      <c r="K31" s="17" t="s">
        <v>137</v>
      </c>
      <c r="L31" s="6" t="s">
        <v>31</v>
      </c>
      <c r="M31" s="8" t="s">
        <v>181</v>
      </c>
      <c r="N31" s="8" t="s">
        <v>182</v>
      </c>
    </row>
    <row r="32" customFormat="false" ht="55.2" hidden="false" customHeight="false" outlineLevel="0" collapsed="false">
      <c r="A32" s="6" t="n">
        <v>31</v>
      </c>
      <c r="B32" s="14" t="s">
        <v>62</v>
      </c>
      <c r="C32" s="14" t="s">
        <v>183</v>
      </c>
      <c r="D32" s="8" t="s">
        <v>184</v>
      </c>
      <c r="E32" s="8" t="s">
        <v>185</v>
      </c>
      <c r="F32" s="6" t="n">
        <v>4</v>
      </c>
      <c r="G32" s="6" t="n">
        <v>4</v>
      </c>
      <c r="H32" s="6" t="n">
        <v>4</v>
      </c>
      <c r="I32" s="6" t="n">
        <v>3</v>
      </c>
      <c r="J32" s="9" t="n">
        <f aca="false">0.35*F32+0.25*G32+0.25*H32+0.15*I32</f>
        <v>3.85</v>
      </c>
      <c r="K32" s="17" t="s">
        <v>137</v>
      </c>
      <c r="L32" s="6" t="s">
        <v>31</v>
      </c>
      <c r="M32" s="8" t="s">
        <v>186</v>
      </c>
      <c r="N32" s="8" t="s">
        <v>187</v>
      </c>
    </row>
    <row r="33" customFormat="false" ht="55.2" hidden="false" customHeight="false" outlineLevel="0" collapsed="false">
      <c r="A33" s="6" t="n">
        <v>32</v>
      </c>
      <c r="B33" s="14" t="s">
        <v>62</v>
      </c>
      <c r="C33" s="14" t="s">
        <v>188</v>
      </c>
      <c r="D33" s="8" t="s">
        <v>189</v>
      </c>
      <c r="E33" s="8" t="s">
        <v>190</v>
      </c>
      <c r="F33" s="6" t="n">
        <v>3</v>
      </c>
      <c r="G33" s="6" t="n">
        <v>4</v>
      </c>
      <c r="H33" s="6" t="n">
        <v>4</v>
      </c>
      <c r="I33" s="6" t="n">
        <v>5</v>
      </c>
      <c r="J33" s="9" t="n">
        <f aca="false">0.35*F33+0.25*G33+0.25*H33+0.15*I33</f>
        <v>3.8</v>
      </c>
      <c r="K33" s="17" t="s">
        <v>137</v>
      </c>
      <c r="L33" s="6" t="s">
        <v>31</v>
      </c>
      <c r="M33" s="8" t="s">
        <v>191</v>
      </c>
      <c r="N33" s="8" t="s">
        <v>192</v>
      </c>
    </row>
    <row r="34" customFormat="false" ht="55.2" hidden="false" customHeight="false" outlineLevel="0" collapsed="false">
      <c r="A34" s="6" t="n">
        <v>33</v>
      </c>
      <c r="B34" s="7" t="s">
        <v>26</v>
      </c>
      <c r="C34" s="7" t="s">
        <v>158</v>
      </c>
      <c r="D34" s="8" t="s">
        <v>193</v>
      </c>
      <c r="E34" s="8" t="s">
        <v>194</v>
      </c>
      <c r="F34" s="6" t="n">
        <v>4</v>
      </c>
      <c r="G34" s="6" t="n">
        <v>3</v>
      </c>
      <c r="H34" s="6" t="n">
        <v>4</v>
      </c>
      <c r="I34" s="6" t="n">
        <v>4</v>
      </c>
      <c r="J34" s="9" t="n">
        <f aca="false">0.35*F34+0.25*G34+0.25*H34+0.15*I34</f>
        <v>3.75</v>
      </c>
      <c r="K34" s="17" t="s">
        <v>137</v>
      </c>
      <c r="L34" s="6" t="s">
        <v>31</v>
      </c>
      <c r="M34" s="8" t="s">
        <v>195</v>
      </c>
      <c r="N34" s="8" t="s">
        <v>196</v>
      </c>
    </row>
    <row r="35" customFormat="false" ht="55.2" hidden="false" customHeight="false" outlineLevel="0" collapsed="false">
      <c r="A35" s="6" t="n">
        <v>34</v>
      </c>
      <c r="B35" s="7" t="s">
        <v>26</v>
      </c>
      <c r="C35" s="7" t="s">
        <v>168</v>
      </c>
      <c r="D35" s="8" t="s">
        <v>197</v>
      </c>
      <c r="E35" s="8" t="s">
        <v>198</v>
      </c>
      <c r="F35" s="6" t="n">
        <v>4</v>
      </c>
      <c r="G35" s="6" t="n">
        <v>2</v>
      </c>
      <c r="H35" s="6" t="n">
        <v>5</v>
      </c>
      <c r="I35" s="6" t="n">
        <v>4</v>
      </c>
      <c r="J35" s="9" t="n">
        <f aca="false">0.35*F35+0.25*G35+0.25*H35+0.15*I35</f>
        <v>3.75</v>
      </c>
      <c r="K35" s="17" t="s">
        <v>137</v>
      </c>
      <c r="L35" s="6" t="s">
        <v>31</v>
      </c>
      <c r="M35" s="8" t="s">
        <v>199</v>
      </c>
      <c r="N35" s="8" t="s">
        <v>200</v>
      </c>
    </row>
    <row r="36" customFormat="false" ht="55.2" hidden="false" customHeight="false" outlineLevel="0" collapsed="false">
      <c r="A36" s="6" t="n">
        <v>35</v>
      </c>
      <c r="B36" s="12" t="s">
        <v>45</v>
      </c>
      <c r="C36" s="12" t="s">
        <v>134</v>
      </c>
      <c r="D36" s="8" t="s">
        <v>201</v>
      </c>
      <c r="E36" s="8" t="s">
        <v>202</v>
      </c>
      <c r="F36" s="6" t="n">
        <v>4</v>
      </c>
      <c r="G36" s="6" t="n">
        <v>2</v>
      </c>
      <c r="H36" s="6" t="n">
        <v>5</v>
      </c>
      <c r="I36" s="6" t="n">
        <v>4</v>
      </c>
      <c r="J36" s="9" t="n">
        <f aca="false">0.35*F36+0.25*G36+0.25*H36+0.15*I36</f>
        <v>3.75</v>
      </c>
      <c r="K36" s="17" t="s">
        <v>137</v>
      </c>
      <c r="L36" s="6" t="s">
        <v>31</v>
      </c>
      <c r="M36" s="8" t="s">
        <v>203</v>
      </c>
      <c r="N36" s="8" t="s">
        <v>204</v>
      </c>
    </row>
    <row r="37" customFormat="false" ht="55.2" hidden="false" customHeight="false" outlineLevel="0" collapsed="false">
      <c r="A37" s="6" t="n">
        <v>36</v>
      </c>
      <c r="B37" s="12" t="s">
        <v>45</v>
      </c>
      <c r="C37" s="12" t="s">
        <v>205</v>
      </c>
      <c r="D37" s="8" t="s">
        <v>206</v>
      </c>
      <c r="E37" s="8" t="s">
        <v>207</v>
      </c>
      <c r="F37" s="6" t="n">
        <v>3</v>
      </c>
      <c r="G37" s="6" t="n">
        <v>4</v>
      </c>
      <c r="H37" s="6" t="n">
        <v>5</v>
      </c>
      <c r="I37" s="6" t="n">
        <v>3</v>
      </c>
      <c r="J37" s="9" t="n">
        <f aca="false">0.35*F37+0.25*G37+0.25*H37+0.15*I37</f>
        <v>3.75</v>
      </c>
      <c r="K37" s="17" t="s">
        <v>137</v>
      </c>
      <c r="L37" s="6" t="s">
        <v>31</v>
      </c>
      <c r="M37" s="8" t="s">
        <v>208</v>
      </c>
      <c r="N37" s="8" t="s">
        <v>209</v>
      </c>
    </row>
    <row r="38" customFormat="false" ht="55.2" hidden="false" customHeight="false" outlineLevel="0" collapsed="false">
      <c r="A38" s="6" t="n">
        <v>37</v>
      </c>
      <c r="B38" s="11" t="s">
        <v>34</v>
      </c>
      <c r="C38" s="11" t="s">
        <v>89</v>
      </c>
      <c r="D38" s="8" t="s">
        <v>210</v>
      </c>
      <c r="E38" s="8" t="s">
        <v>211</v>
      </c>
      <c r="F38" s="6" t="n">
        <v>4</v>
      </c>
      <c r="G38" s="6" t="n">
        <v>3</v>
      </c>
      <c r="H38" s="6" t="n">
        <v>4</v>
      </c>
      <c r="I38" s="6" t="n">
        <v>4</v>
      </c>
      <c r="J38" s="9" t="n">
        <f aca="false">0.35*F38+0.25*G38+0.25*H38+0.15*I38</f>
        <v>3.75</v>
      </c>
      <c r="K38" s="17" t="s">
        <v>137</v>
      </c>
      <c r="L38" s="6" t="s">
        <v>31</v>
      </c>
      <c r="M38" s="8" t="s">
        <v>212</v>
      </c>
      <c r="N38" s="8" t="s">
        <v>213</v>
      </c>
    </row>
    <row r="39" customFormat="false" ht="55.2" hidden="false" customHeight="false" outlineLevel="0" collapsed="false">
      <c r="A39" s="6" t="n">
        <v>38</v>
      </c>
      <c r="B39" s="13" t="s">
        <v>56</v>
      </c>
      <c r="C39" s="13" t="s">
        <v>214</v>
      </c>
      <c r="D39" s="8" t="s">
        <v>215</v>
      </c>
      <c r="E39" s="8" t="s">
        <v>216</v>
      </c>
      <c r="F39" s="6" t="n">
        <v>4</v>
      </c>
      <c r="G39" s="6" t="n">
        <v>3</v>
      </c>
      <c r="H39" s="6" t="n">
        <v>4</v>
      </c>
      <c r="I39" s="6" t="n">
        <v>4</v>
      </c>
      <c r="J39" s="9" t="n">
        <f aca="false">0.35*F39+0.25*G39+0.25*H39+0.15*I39</f>
        <v>3.75</v>
      </c>
      <c r="K39" s="17" t="s">
        <v>137</v>
      </c>
      <c r="L39" s="6" t="s">
        <v>31</v>
      </c>
      <c r="M39" s="8" t="s">
        <v>217</v>
      </c>
      <c r="N39" s="8" t="s">
        <v>218</v>
      </c>
    </row>
    <row r="40" customFormat="false" ht="55.2" hidden="false" customHeight="false" outlineLevel="0" collapsed="false">
      <c r="A40" s="6" t="n">
        <v>39</v>
      </c>
      <c r="B40" s="16" t="s">
        <v>113</v>
      </c>
      <c r="C40" s="16" t="s">
        <v>219</v>
      </c>
      <c r="D40" s="8" t="s">
        <v>220</v>
      </c>
      <c r="E40" s="8" t="s">
        <v>221</v>
      </c>
      <c r="F40" s="6" t="n">
        <v>4</v>
      </c>
      <c r="G40" s="6" t="n">
        <v>3</v>
      </c>
      <c r="H40" s="6" t="n">
        <v>4</v>
      </c>
      <c r="I40" s="6" t="n">
        <v>4</v>
      </c>
      <c r="J40" s="9" t="n">
        <f aca="false">0.35*F40+0.25*G40+0.25*H40+0.15*I40</f>
        <v>3.75</v>
      </c>
      <c r="K40" s="17" t="s">
        <v>137</v>
      </c>
      <c r="L40" s="6" t="s">
        <v>31</v>
      </c>
      <c r="M40" s="8" t="s">
        <v>222</v>
      </c>
      <c r="N40" s="8" t="s">
        <v>223</v>
      </c>
    </row>
    <row r="41" customFormat="false" ht="55.2" hidden="false" customHeight="false" outlineLevel="0" collapsed="false">
      <c r="A41" s="6" t="n">
        <v>40</v>
      </c>
      <c r="B41" s="14" t="s">
        <v>62</v>
      </c>
      <c r="C41" s="14" t="s">
        <v>224</v>
      </c>
      <c r="D41" s="8" t="s">
        <v>225</v>
      </c>
      <c r="E41" s="8" t="s">
        <v>226</v>
      </c>
      <c r="F41" s="6" t="n">
        <v>4</v>
      </c>
      <c r="G41" s="6" t="n">
        <v>3</v>
      </c>
      <c r="H41" s="6" t="n">
        <v>4</v>
      </c>
      <c r="I41" s="6" t="n">
        <v>4</v>
      </c>
      <c r="J41" s="9" t="n">
        <f aca="false">0.35*F41+0.25*G41+0.25*H41+0.15*I41</f>
        <v>3.75</v>
      </c>
      <c r="K41" s="17" t="s">
        <v>137</v>
      </c>
      <c r="L41" s="6" t="s">
        <v>31</v>
      </c>
      <c r="M41" s="8" t="s">
        <v>227</v>
      </c>
      <c r="N41" s="8" t="s">
        <v>228</v>
      </c>
    </row>
    <row r="42" customFormat="false" ht="55.2" hidden="false" customHeight="false" outlineLevel="0" collapsed="false">
      <c r="A42" s="6" t="n">
        <v>41</v>
      </c>
      <c r="B42" s="15" t="s">
        <v>68</v>
      </c>
      <c r="C42" s="15" t="s">
        <v>229</v>
      </c>
      <c r="D42" s="8" t="s">
        <v>230</v>
      </c>
      <c r="E42" s="8" t="s">
        <v>231</v>
      </c>
      <c r="F42" s="6" t="n">
        <v>4</v>
      </c>
      <c r="G42" s="6" t="n">
        <v>2</v>
      </c>
      <c r="H42" s="6" t="n">
        <v>5</v>
      </c>
      <c r="I42" s="6" t="n">
        <v>4</v>
      </c>
      <c r="J42" s="9" t="n">
        <f aca="false">0.35*F42+0.25*G42+0.25*H42+0.15*I42</f>
        <v>3.75</v>
      </c>
      <c r="K42" s="17" t="s">
        <v>137</v>
      </c>
      <c r="L42" s="10" t="s">
        <v>38</v>
      </c>
      <c r="M42" s="8" t="s">
        <v>232</v>
      </c>
      <c r="N42" s="8" t="s">
        <v>233</v>
      </c>
    </row>
    <row r="43" customFormat="false" ht="55.2" hidden="false" customHeight="false" outlineLevel="0" collapsed="false">
      <c r="A43" s="6" t="n">
        <v>42</v>
      </c>
      <c r="B43" s="7" t="s">
        <v>26</v>
      </c>
      <c r="C43" s="7" t="s">
        <v>27</v>
      </c>
      <c r="D43" s="8" t="s">
        <v>234</v>
      </c>
      <c r="E43" s="8" t="s">
        <v>235</v>
      </c>
      <c r="F43" s="6" t="n">
        <v>4</v>
      </c>
      <c r="G43" s="6" t="n">
        <v>2</v>
      </c>
      <c r="H43" s="6" t="n">
        <v>4</v>
      </c>
      <c r="I43" s="6" t="n">
        <v>5</v>
      </c>
      <c r="J43" s="9" t="n">
        <f aca="false">0.35*F43+0.25*G43+0.25*H43+0.15*I43</f>
        <v>3.65</v>
      </c>
      <c r="K43" s="17" t="s">
        <v>137</v>
      </c>
      <c r="L43" s="10" t="s">
        <v>38</v>
      </c>
      <c r="M43" s="8" t="s">
        <v>236</v>
      </c>
      <c r="N43" s="8" t="s">
        <v>237</v>
      </c>
    </row>
    <row r="44" customFormat="false" ht="55.2" hidden="false" customHeight="false" outlineLevel="0" collapsed="false">
      <c r="A44" s="6" t="n">
        <v>43</v>
      </c>
      <c r="B44" s="15" t="s">
        <v>68</v>
      </c>
      <c r="C44" s="15" t="s">
        <v>69</v>
      </c>
      <c r="D44" s="8" t="s">
        <v>238</v>
      </c>
      <c r="E44" s="8" t="s">
        <v>239</v>
      </c>
      <c r="F44" s="6" t="n">
        <v>3</v>
      </c>
      <c r="G44" s="6" t="n">
        <v>3</v>
      </c>
      <c r="H44" s="6" t="n">
        <v>5</v>
      </c>
      <c r="I44" s="6" t="n">
        <v>4</v>
      </c>
      <c r="J44" s="9" t="n">
        <f aca="false">0.35*F44+0.25*G44+0.25*H44+0.15*I44</f>
        <v>3.65</v>
      </c>
      <c r="K44" s="17" t="s">
        <v>137</v>
      </c>
      <c r="L44" s="6" t="s">
        <v>31</v>
      </c>
      <c r="M44" s="8" t="s">
        <v>240</v>
      </c>
      <c r="N44" s="8" t="s">
        <v>241</v>
      </c>
    </row>
    <row r="45" customFormat="false" ht="55.2" hidden="false" customHeight="false" outlineLevel="0" collapsed="false">
      <c r="A45" s="6" t="n">
        <v>44</v>
      </c>
      <c r="B45" s="12" t="s">
        <v>45</v>
      </c>
      <c r="C45" s="12" t="s">
        <v>242</v>
      </c>
      <c r="D45" s="8" t="s">
        <v>243</v>
      </c>
      <c r="E45" s="8" t="s">
        <v>244</v>
      </c>
      <c r="F45" s="6" t="n">
        <v>4</v>
      </c>
      <c r="G45" s="6" t="n">
        <v>3</v>
      </c>
      <c r="H45" s="6" t="n">
        <v>4</v>
      </c>
      <c r="I45" s="6" t="n">
        <v>3</v>
      </c>
      <c r="J45" s="9" t="n">
        <f aca="false">0.35*F45+0.25*G45+0.25*H45+0.15*I45</f>
        <v>3.6</v>
      </c>
      <c r="K45" s="17" t="s">
        <v>137</v>
      </c>
      <c r="L45" s="10" t="s">
        <v>38</v>
      </c>
      <c r="M45" s="8" t="s">
        <v>245</v>
      </c>
      <c r="N45" s="8" t="s">
        <v>246</v>
      </c>
    </row>
    <row r="46" customFormat="false" ht="55.2" hidden="false" customHeight="false" outlineLevel="0" collapsed="false">
      <c r="A46" s="6" t="n">
        <v>45</v>
      </c>
      <c r="B46" s="16" t="s">
        <v>113</v>
      </c>
      <c r="C46" s="16" t="s">
        <v>247</v>
      </c>
      <c r="D46" s="8" t="s">
        <v>248</v>
      </c>
      <c r="E46" s="8" t="s">
        <v>249</v>
      </c>
      <c r="F46" s="6" t="n">
        <v>4</v>
      </c>
      <c r="G46" s="6" t="n">
        <v>4</v>
      </c>
      <c r="H46" s="6" t="n">
        <v>3</v>
      </c>
      <c r="I46" s="6" t="n">
        <v>3</v>
      </c>
      <c r="J46" s="9" t="n">
        <f aca="false">0.35*F46+0.25*G46+0.25*H46+0.15*I46</f>
        <v>3.6</v>
      </c>
      <c r="K46" s="17" t="s">
        <v>137</v>
      </c>
      <c r="L46" s="10" t="s">
        <v>38</v>
      </c>
      <c r="M46" s="8" t="s">
        <v>250</v>
      </c>
      <c r="N46" s="8" t="s">
        <v>251</v>
      </c>
    </row>
    <row r="47" customFormat="false" ht="55.2" hidden="false" customHeight="false" outlineLevel="0" collapsed="false">
      <c r="A47" s="6" t="n">
        <v>46</v>
      </c>
      <c r="B47" s="15" t="s">
        <v>68</v>
      </c>
      <c r="C47" s="15" t="s">
        <v>252</v>
      </c>
      <c r="D47" s="8" t="s">
        <v>253</v>
      </c>
      <c r="E47" s="8" t="s">
        <v>254</v>
      </c>
      <c r="F47" s="6" t="n">
        <v>4</v>
      </c>
      <c r="G47" s="6" t="n">
        <v>3</v>
      </c>
      <c r="H47" s="6" t="n">
        <v>4</v>
      </c>
      <c r="I47" s="6" t="n">
        <v>3</v>
      </c>
      <c r="J47" s="9" t="n">
        <f aca="false">0.35*F47+0.25*G47+0.25*H47+0.15*I47</f>
        <v>3.6</v>
      </c>
      <c r="K47" s="17" t="s">
        <v>137</v>
      </c>
      <c r="L47" s="6" t="s">
        <v>31</v>
      </c>
      <c r="M47" s="8" t="s">
        <v>255</v>
      </c>
      <c r="N47" s="8" t="s">
        <v>256</v>
      </c>
    </row>
    <row r="48" customFormat="false" ht="55.2" hidden="false" customHeight="false" outlineLevel="0" collapsed="false">
      <c r="A48" s="6" t="n">
        <v>47</v>
      </c>
      <c r="B48" s="12" t="s">
        <v>45</v>
      </c>
      <c r="C48" s="12" t="s">
        <v>242</v>
      </c>
      <c r="D48" s="8" t="s">
        <v>257</v>
      </c>
      <c r="E48" s="8" t="s">
        <v>258</v>
      </c>
      <c r="F48" s="6" t="n">
        <v>3</v>
      </c>
      <c r="G48" s="6" t="n">
        <v>4</v>
      </c>
      <c r="H48" s="6" t="n">
        <v>4</v>
      </c>
      <c r="I48" s="6" t="n">
        <v>3</v>
      </c>
      <c r="J48" s="9" t="n">
        <f aca="false">0.35*F48+0.25*G48+0.25*H48+0.15*I48</f>
        <v>3.5</v>
      </c>
      <c r="K48" s="17" t="s">
        <v>137</v>
      </c>
      <c r="L48" s="6" t="s">
        <v>31</v>
      </c>
      <c r="M48" s="8" t="s">
        <v>259</v>
      </c>
      <c r="N48" s="8" t="s">
        <v>260</v>
      </c>
    </row>
    <row r="49" customFormat="false" ht="55.2" hidden="false" customHeight="false" outlineLevel="0" collapsed="false">
      <c r="A49" s="6" t="n">
        <v>48</v>
      </c>
      <c r="B49" s="12" t="s">
        <v>45</v>
      </c>
      <c r="C49" s="12" t="s">
        <v>205</v>
      </c>
      <c r="D49" s="8" t="s">
        <v>261</v>
      </c>
      <c r="E49" s="8" t="s">
        <v>262</v>
      </c>
      <c r="F49" s="6" t="n">
        <v>3</v>
      </c>
      <c r="G49" s="6" t="n">
        <v>3</v>
      </c>
      <c r="H49" s="6" t="n">
        <v>5</v>
      </c>
      <c r="I49" s="6" t="n">
        <v>3</v>
      </c>
      <c r="J49" s="9" t="n">
        <f aca="false">0.35*F49+0.25*G49+0.25*H49+0.15*I49</f>
        <v>3.5</v>
      </c>
      <c r="K49" s="17" t="s">
        <v>137</v>
      </c>
      <c r="L49" s="6" t="s">
        <v>31</v>
      </c>
      <c r="M49" s="8" t="s">
        <v>263</v>
      </c>
      <c r="N49" s="8" t="s">
        <v>264</v>
      </c>
    </row>
    <row r="50" customFormat="false" ht="55.2" hidden="false" customHeight="false" outlineLevel="0" collapsed="false">
      <c r="A50" s="6" t="n">
        <v>49</v>
      </c>
      <c r="B50" s="15" t="s">
        <v>68</v>
      </c>
      <c r="C50" s="15" t="s">
        <v>265</v>
      </c>
      <c r="D50" s="8" t="s">
        <v>266</v>
      </c>
      <c r="E50" s="8" t="s">
        <v>267</v>
      </c>
      <c r="F50" s="6" t="n">
        <v>4</v>
      </c>
      <c r="G50" s="6" t="n">
        <v>3</v>
      </c>
      <c r="H50" s="6" t="n">
        <v>3</v>
      </c>
      <c r="I50" s="6" t="n">
        <v>4</v>
      </c>
      <c r="J50" s="9" t="n">
        <f aca="false">0.35*F50+0.25*G50+0.25*H50+0.15*I50</f>
        <v>3.5</v>
      </c>
      <c r="K50" s="17" t="s">
        <v>137</v>
      </c>
      <c r="L50" s="6" t="s">
        <v>31</v>
      </c>
      <c r="M50" s="8" t="s">
        <v>268</v>
      </c>
      <c r="N50" s="8" t="s">
        <v>269</v>
      </c>
    </row>
    <row r="51" customFormat="false" ht="55.2" hidden="false" customHeight="false" outlineLevel="0" collapsed="false">
      <c r="A51" s="6" t="n">
        <v>50</v>
      </c>
      <c r="B51" s="7" t="s">
        <v>26</v>
      </c>
      <c r="C51" s="7" t="s">
        <v>84</v>
      </c>
      <c r="D51" s="8" t="s">
        <v>270</v>
      </c>
      <c r="E51" s="8" t="s">
        <v>271</v>
      </c>
      <c r="F51" s="6" t="n">
        <v>3</v>
      </c>
      <c r="G51" s="6" t="n">
        <v>3</v>
      </c>
      <c r="H51" s="6" t="n">
        <v>4</v>
      </c>
      <c r="I51" s="6" t="n">
        <v>4</v>
      </c>
      <c r="J51" s="9" t="n">
        <f aca="false">0.35*F51+0.25*G51+0.25*H51+0.15*I51</f>
        <v>3.4</v>
      </c>
      <c r="K51" s="18" t="s">
        <v>272</v>
      </c>
      <c r="L51" s="6" t="s">
        <v>31</v>
      </c>
      <c r="M51" s="8" t="s">
        <v>273</v>
      </c>
      <c r="N51" s="8" t="s">
        <v>274</v>
      </c>
    </row>
    <row r="52" customFormat="false" ht="55.2" hidden="false" customHeight="false" outlineLevel="0" collapsed="false">
      <c r="A52" s="6" t="n">
        <v>51</v>
      </c>
      <c r="B52" s="12" t="s">
        <v>45</v>
      </c>
      <c r="C52" s="12" t="s">
        <v>275</v>
      </c>
      <c r="D52" s="8" t="s">
        <v>276</v>
      </c>
      <c r="E52" s="8" t="s">
        <v>277</v>
      </c>
      <c r="F52" s="6" t="n">
        <v>3</v>
      </c>
      <c r="G52" s="6" t="n">
        <v>4</v>
      </c>
      <c r="H52" s="6" t="n">
        <v>4</v>
      </c>
      <c r="I52" s="6" t="n">
        <v>2</v>
      </c>
      <c r="J52" s="9" t="n">
        <f aca="false">0.35*F52+0.25*G52+0.25*H52+0.15*I52</f>
        <v>3.35</v>
      </c>
      <c r="K52" s="18" t="s">
        <v>272</v>
      </c>
      <c r="L52" s="6" t="s">
        <v>31</v>
      </c>
      <c r="M52" s="8" t="s">
        <v>278</v>
      </c>
      <c r="N52" s="8" t="s">
        <v>279</v>
      </c>
    </row>
    <row r="53" customFormat="false" ht="55.2" hidden="false" customHeight="false" outlineLevel="0" collapsed="false">
      <c r="A53" s="6" t="n">
        <v>52</v>
      </c>
      <c r="B53" s="7" t="s">
        <v>26</v>
      </c>
      <c r="C53" s="7" t="s">
        <v>280</v>
      </c>
      <c r="D53" s="8" t="s">
        <v>281</v>
      </c>
      <c r="E53" s="8" t="s">
        <v>282</v>
      </c>
      <c r="F53" s="6" t="n">
        <v>3</v>
      </c>
      <c r="G53" s="6" t="n">
        <v>4</v>
      </c>
      <c r="H53" s="6" t="n">
        <v>3</v>
      </c>
      <c r="I53" s="6" t="n">
        <v>3</v>
      </c>
      <c r="J53" s="9" t="n">
        <f aca="false">0.35*F53+0.25*G53+0.25*H53+0.15*I53</f>
        <v>3.25</v>
      </c>
      <c r="K53" s="18" t="s">
        <v>272</v>
      </c>
      <c r="L53" s="6" t="s">
        <v>31</v>
      </c>
      <c r="M53" s="8" t="s">
        <v>283</v>
      </c>
      <c r="N53" s="8" t="s">
        <v>284</v>
      </c>
    </row>
    <row r="54" customFormat="false" ht="55.2" hidden="false" customHeight="false" outlineLevel="0" collapsed="false">
      <c r="A54" s="6" t="n">
        <v>53</v>
      </c>
      <c r="B54" s="7" t="s">
        <v>26</v>
      </c>
      <c r="C54" s="7" t="s">
        <v>280</v>
      </c>
      <c r="D54" s="8" t="s">
        <v>285</v>
      </c>
      <c r="E54" s="8" t="s">
        <v>286</v>
      </c>
      <c r="F54" s="6" t="n">
        <v>3</v>
      </c>
      <c r="G54" s="6" t="n">
        <v>4</v>
      </c>
      <c r="H54" s="6" t="n">
        <v>3</v>
      </c>
      <c r="I54" s="6" t="n">
        <v>3</v>
      </c>
      <c r="J54" s="9" t="n">
        <f aca="false">0.35*F54+0.25*G54+0.25*H54+0.15*I54</f>
        <v>3.25</v>
      </c>
      <c r="K54" s="18" t="s">
        <v>272</v>
      </c>
      <c r="L54" s="6" t="s">
        <v>31</v>
      </c>
      <c r="M54" s="8" t="s">
        <v>287</v>
      </c>
      <c r="N54" s="8" t="s">
        <v>288</v>
      </c>
    </row>
    <row r="55" customFormat="false" ht="55.2" hidden="false" customHeight="false" outlineLevel="0" collapsed="false">
      <c r="A55" s="6" t="n">
        <v>54</v>
      </c>
      <c r="B55" s="12" t="s">
        <v>45</v>
      </c>
      <c r="C55" s="12" t="s">
        <v>289</v>
      </c>
      <c r="D55" s="8" t="s">
        <v>290</v>
      </c>
      <c r="E55" s="8" t="s">
        <v>291</v>
      </c>
      <c r="F55" s="6" t="n">
        <v>2</v>
      </c>
      <c r="G55" s="6" t="n">
        <v>4</v>
      </c>
      <c r="H55" s="6" t="n">
        <v>4</v>
      </c>
      <c r="I55" s="6" t="n">
        <v>2</v>
      </c>
      <c r="J55" s="9" t="n">
        <f aca="false">0.35*F55+0.25*G55+0.25*H55+0.15*I55</f>
        <v>3</v>
      </c>
      <c r="K55" s="18" t="s">
        <v>272</v>
      </c>
      <c r="L55" s="6" t="s">
        <v>31</v>
      </c>
      <c r="M55" s="8" t="s">
        <v>292</v>
      </c>
      <c r="N55" s="8" t="s">
        <v>293</v>
      </c>
    </row>
    <row r="56" customFormat="false" ht="55.2" hidden="false" customHeight="false" outlineLevel="0" collapsed="false">
      <c r="A56" s="6" t="n">
        <v>55</v>
      </c>
      <c r="B56" s="16" t="s">
        <v>113</v>
      </c>
      <c r="C56" s="16" t="s">
        <v>294</v>
      </c>
      <c r="D56" s="8" t="s">
        <v>295</v>
      </c>
      <c r="E56" s="8" t="s">
        <v>296</v>
      </c>
      <c r="F56" s="6" t="n">
        <v>3</v>
      </c>
      <c r="G56" s="6" t="n">
        <v>3</v>
      </c>
      <c r="H56" s="6" t="n">
        <v>3</v>
      </c>
      <c r="I56" s="6" t="n">
        <v>3</v>
      </c>
      <c r="J56" s="9" t="n">
        <f aca="false">0.35*F56+0.25*G56+0.25*H56+0.15*I56</f>
        <v>3</v>
      </c>
      <c r="K56" s="18" t="s">
        <v>272</v>
      </c>
      <c r="L56" s="6" t="s">
        <v>31</v>
      </c>
      <c r="M56" s="8" t="s">
        <v>297</v>
      </c>
      <c r="N56" s="8" t="s">
        <v>298</v>
      </c>
    </row>
    <row r="57" customFormat="false" ht="55.2" hidden="false" customHeight="false" outlineLevel="0" collapsed="false">
      <c r="A57" s="6" t="n">
        <v>56</v>
      </c>
      <c r="B57" s="16" t="s">
        <v>113</v>
      </c>
      <c r="C57" s="16" t="s">
        <v>299</v>
      </c>
      <c r="D57" s="8" t="s">
        <v>300</v>
      </c>
      <c r="E57" s="8" t="s">
        <v>301</v>
      </c>
      <c r="F57" s="6" t="n">
        <v>3</v>
      </c>
      <c r="G57" s="6" t="n">
        <v>3</v>
      </c>
      <c r="H57" s="6" t="n">
        <v>3</v>
      </c>
      <c r="I57" s="6" t="n">
        <v>3</v>
      </c>
      <c r="J57" s="9" t="n">
        <f aca="false">0.35*F57+0.25*G57+0.25*H57+0.15*I57</f>
        <v>3</v>
      </c>
      <c r="K57" s="18" t="s">
        <v>272</v>
      </c>
      <c r="L57" s="10" t="s">
        <v>38</v>
      </c>
      <c r="M57" s="8" t="s">
        <v>302</v>
      </c>
      <c r="N57" s="8" t="s">
        <v>303</v>
      </c>
    </row>
    <row r="58" customFormat="false" ht="55.2" hidden="false" customHeight="false" outlineLevel="0" collapsed="false">
      <c r="A58" s="6" t="n">
        <v>57</v>
      </c>
      <c r="B58" s="14" t="s">
        <v>62</v>
      </c>
      <c r="C58" s="14" t="s">
        <v>304</v>
      </c>
      <c r="D58" s="8" t="s">
        <v>305</v>
      </c>
      <c r="E58" s="8" t="s">
        <v>306</v>
      </c>
      <c r="F58" s="6" t="n">
        <v>3</v>
      </c>
      <c r="G58" s="6" t="n">
        <v>3</v>
      </c>
      <c r="H58" s="6" t="n">
        <v>3</v>
      </c>
      <c r="I58" s="6" t="n">
        <v>3</v>
      </c>
      <c r="J58" s="9" t="n">
        <f aca="false">0.35*F58+0.25*G58+0.25*H58+0.15*I58</f>
        <v>3</v>
      </c>
      <c r="K58" s="18" t="s">
        <v>272</v>
      </c>
      <c r="L58" s="6" t="s">
        <v>31</v>
      </c>
      <c r="M58" s="8" t="s">
        <v>307</v>
      </c>
      <c r="N58" s="8" t="s">
        <v>308</v>
      </c>
    </row>
    <row r="59" customFormat="false" ht="55.2" hidden="false" customHeight="false" outlineLevel="0" collapsed="false">
      <c r="A59" s="6" t="n">
        <v>58</v>
      </c>
      <c r="B59" s="7" t="s">
        <v>26</v>
      </c>
      <c r="C59" s="7" t="s">
        <v>163</v>
      </c>
      <c r="D59" s="8" t="s">
        <v>309</v>
      </c>
      <c r="E59" s="8" t="s">
        <v>310</v>
      </c>
      <c r="F59" s="6" t="n">
        <v>3</v>
      </c>
      <c r="G59" s="6" t="n">
        <v>3</v>
      </c>
      <c r="H59" s="6" t="n">
        <v>3</v>
      </c>
      <c r="I59" s="6" t="n">
        <v>2</v>
      </c>
      <c r="J59" s="9" t="n">
        <f aca="false">0.35*F59+0.25*G59+0.25*H59+0.15*I59</f>
        <v>2.85</v>
      </c>
      <c r="K59" s="19" t="s">
        <v>311</v>
      </c>
      <c r="L59" s="10" t="s">
        <v>38</v>
      </c>
      <c r="M59" s="8" t="s">
        <v>312</v>
      </c>
      <c r="N59" s="8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70"/>
  </cols>
  <sheetData>
    <row r="1" customFormat="false" ht="30" hidden="false" customHeight="true" outlineLevel="0" collapsed="false">
      <c r="A1" s="5" t="s">
        <v>314</v>
      </c>
      <c r="B1" s="5" t="s">
        <v>315</v>
      </c>
      <c r="C1" s="5" t="s">
        <v>316</v>
      </c>
      <c r="D1" s="5" t="s">
        <v>317</v>
      </c>
    </row>
    <row r="2" customFormat="false" ht="41.75" hidden="false" customHeight="false" outlineLevel="0" collapsed="false">
      <c r="A2" s="6" t="n">
        <v>1</v>
      </c>
      <c r="B2" s="8" t="s">
        <v>318</v>
      </c>
      <c r="C2" s="8" t="s">
        <v>319</v>
      </c>
      <c r="D2" s="8" t="s">
        <v>320</v>
      </c>
    </row>
    <row r="3" customFormat="false" ht="28.35" hidden="false" customHeight="false" outlineLevel="0" collapsed="false">
      <c r="A3" s="6" t="n">
        <v>2</v>
      </c>
      <c r="B3" s="8" t="s">
        <v>321</v>
      </c>
      <c r="C3" s="8" t="s">
        <v>322</v>
      </c>
      <c r="D3" s="8" t="s">
        <v>323</v>
      </c>
    </row>
    <row r="4" customFormat="false" ht="28.35" hidden="false" customHeight="false" outlineLevel="0" collapsed="false">
      <c r="A4" s="6" t="n">
        <v>3</v>
      </c>
      <c r="B4" s="8" t="s">
        <v>324</v>
      </c>
      <c r="C4" s="8" t="s">
        <v>325</v>
      </c>
      <c r="D4" s="8" t="s">
        <v>326</v>
      </c>
    </row>
    <row r="5" customFormat="false" ht="28.35" hidden="false" customHeight="false" outlineLevel="0" collapsed="false">
      <c r="A5" s="6" t="n">
        <v>4</v>
      </c>
      <c r="B5" s="8" t="s">
        <v>327</v>
      </c>
      <c r="C5" s="8" t="s">
        <v>328</v>
      </c>
      <c r="D5" s="8" t="s">
        <v>329</v>
      </c>
    </row>
    <row r="6" customFormat="false" ht="28.35" hidden="false" customHeight="false" outlineLevel="0" collapsed="false">
      <c r="A6" s="6" t="n">
        <v>5</v>
      </c>
      <c r="B6" s="8" t="s">
        <v>330</v>
      </c>
      <c r="C6" s="8" t="s">
        <v>331</v>
      </c>
      <c r="D6" s="8" t="s">
        <v>332</v>
      </c>
    </row>
    <row r="7" customFormat="false" ht="28.35" hidden="false" customHeight="false" outlineLevel="0" collapsed="false">
      <c r="A7" s="6" t="n">
        <v>6</v>
      </c>
      <c r="B7" s="8" t="s">
        <v>333</v>
      </c>
      <c r="C7" s="8" t="s">
        <v>334</v>
      </c>
      <c r="D7" s="8" t="s">
        <v>335</v>
      </c>
    </row>
    <row r="8" customFormat="false" ht="28.35" hidden="false" customHeight="false" outlineLevel="0" collapsed="false">
      <c r="A8" s="6" t="n">
        <v>7</v>
      </c>
      <c r="B8" s="8" t="s">
        <v>336</v>
      </c>
      <c r="C8" s="8" t="s">
        <v>325</v>
      </c>
      <c r="D8" s="8" t="s">
        <v>337</v>
      </c>
    </row>
    <row r="9" customFormat="false" ht="28.35" hidden="false" customHeight="false" outlineLevel="0" collapsed="false">
      <c r="A9" s="6" t="n">
        <v>8</v>
      </c>
      <c r="B9" s="8" t="s">
        <v>338</v>
      </c>
      <c r="C9" s="8" t="s">
        <v>339</v>
      </c>
      <c r="D9" s="8" t="s">
        <v>340</v>
      </c>
    </row>
    <row r="10" customFormat="false" ht="28.35" hidden="false" customHeight="false" outlineLevel="0" collapsed="false">
      <c r="A10" s="6" t="n">
        <v>9</v>
      </c>
      <c r="B10" s="8" t="s">
        <v>341</v>
      </c>
      <c r="C10" s="8" t="s">
        <v>342</v>
      </c>
      <c r="D10" s="8" t="s">
        <v>343</v>
      </c>
    </row>
    <row r="11" customFormat="false" ht="28.35" hidden="false" customHeight="false" outlineLevel="0" collapsed="false">
      <c r="A11" s="6" t="n">
        <v>10</v>
      </c>
      <c r="B11" s="8" t="s">
        <v>344</v>
      </c>
      <c r="C11" s="8" t="s">
        <v>345</v>
      </c>
      <c r="D11" s="8" t="s">
        <v>346</v>
      </c>
    </row>
    <row r="12" customFormat="false" ht="28.35" hidden="false" customHeight="false" outlineLevel="0" collapsed="false">
      <c r="A12" s="6" t="n">
        <v>11</v>
      </c>
      <c r="B12" s="8" t="s">
        <v>347</v>
      </c>
      <c r="C12" s="8" t="s">
        <v>348</v>
      </c>
      <c r="D12" s="8" t="s">
        <v>349</v>
      </c>
    </row>
    <row r="13" customFormat="false" ht="28.35" hidden="false" customHeight="false" outlineLevel="0" collapsed="false">
      <c r="A13" s="6" t="n">
        <v>12</v>
      </c>
      <c r="B13" s="8" t="s">
        <v>350</v>
      </c>
      <c r="C13" s="8" t="s">
        <v>351</v>
      </c>
      <c r="D13" s="8" t="s">
        <v>352</v>
      </c>
    </row>
    <row r="14" customFormat="false" ht="28.35" hidden="false" customHeight="false" outlineLevel="0" collapsed="false">
      <c r="A14" s="6" t="n">
        <v>13</v>
      </c>
      <c r="B14" s="8" t="s">
        <v>353</v>
      </c>
      <c r="C14" s="8" t="s">
        <v>354</v>
      </c>
      <c r="D14" s="8" t="s">
        <v>355</v>
      </c>
    </row>
    <row r="15" customFormat="false" ht="28.35" hidden="false" customHeight="false" outlineLevel="0" collapsed="false">
      <c r="A15" s="6" t="n">
        <v>14</v>
      </c>
      <c r="B15" s="8" t="s">
        <v>356</v>
      </c>
      <c r="C15" s="8" t="s">
        <v>357</v>
      </c>
      <c r="D15" s="8" t="s">
        <v>358</v>
      </c>
    </row>
    <row r="16" customFormat="false" ht="28.35" hidden="false" customHeight="false" outlineLevel="0" collapsed="false">
      <c r="A16" s="6" t="n">
        <v>15</v>
      </c>
      <c r="B16" s="8" t="s">
        <v>359</v>
      </c>
      <c r="C16" s="8" t="s">
        <v>357</v>
      </c>
      <c r="D16" s="8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2026-07-07T15:48:49Z</dcterms:created>
  <dc:creator>openpyxl</dc:creator>
  <dc:description/>
  <dc:language>en-US</dc:language>
  <cp:lastModifiedBy/>
  <dcterms:modified xsi:type="dcterms:W3CDTF">2026-07-08T11:28:34Z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